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UY\R_Projects\MS_Thesis_Stats\MS_Thesis_Stats\Data\"/>
    </mc:Choice>
  </mc:AlternateContent>
  <xr:revisionPtr revIDLastSave="0" documentId="8_{A79C58AB-F65B-4899-9AA9-28922926B117}" xr6:coauthVersionLast="47" xr6:coauthVersionMax="47" xr10:uidLastSave="{00000000-0000-0000-0000-000000000000}"/>
  <bookViews>
    <workbookView xWindow="465" yWindow="1065" windowWidth="19755" windowHeight="11460" activeTab="5" xr2:uid="{057A15E7-80CC-2740-8CE2-8DAB6FD9B759}"/>
  </bookViews>
  <sheets>
    <sheet name="README" sheetId="7" r:id="rId1"/>
    <sheet name="PO4 St. Curve" sheetId="1" r:id="rId2"/>
    <sheet name="NO3 St. Curve" sheetId="3" r:id="rId3"/>
    <sheet name="NH4 St. Curve" sheetId="5" r:id="rId4"/>
    <sheet name="PO4 Data" sheetId="2" r:id="rId5"/>
    <sheet name="NO3 Data" sheetId="4" r:id="rId6"/>
    <sheet name="NH4 Data" sheetId="6" r:id="rId7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6" l="1"/>
  <c r="H748" i="6"/>
  <c r="J748" i="6"/>
  <c r="K748" i="6"/>
  <c r="H749" i="6"/>
  <c r="J749" i="6"/>
  <c r="K749" i="6"/>
  <c r="H750" i="6"/>
  <c r="J750" i="6"/>
  <c r="K750" i="6"/>
  <c r="H751" i="6"/>
  <c r="J751" i="6"/>
  <c r="K751" i="6"/>
  <c r="H752" i="6"/>
  <c r="J752" i="6"/>
  <c r="K752" i="6"/>
  <c r="H753" i="6"/>
  <c r="J753" i="6"/>
  <c r="K753" i="6"/>
  <c r="H754" i="6"/>
  <c r="J754" i="6"/>
  <c r="K754" i="6"/>
  <c r="H755" i="6"/>
  <c r="J755" i="6"/>
  <c r="K755" i="6"/>
  <c r="H756" i="6"/>
  <c r="J756" i="6"/>
  <c r="K756" i="6"/>
  <c r="H757" i="6"/>
  <c r="J757" i="6"/>
  <c r="K757" i="6"/>
  <c r="H758" i="6"/>
  <c r="J758" i="6"/>
  <c r="K758" i="6"/>
  <c r="H759" i="6"/>
  <c r="J759" i="6"/>
  <c r="K759" i="6"/>
  <c r="H760" i="6"/>
  <c r="J760" i="6"/>
  <c r="K760" i="6"/>
  <c r="H761" i="6"/>
  <c r="J761" i="6"/>
  <c r="K761" i="6"/>
  <c r="H762" i="6"/>
  <c r="J762" i="6"/>
  <c r="K762" i="6"/>
  <c r="H763" i="6"/>
  <c r="J763" i="6"/>
  <c r="K763" i="6"/>
  <c r="H764" i="6"/>
  <c r="J764" i="6"/>
  <c r="K764" i="6"/>
  <c r="H765" i="6"/>
  <c r="J765" i="6"/>
  <c r="K765" i="6"/>
  <c r="H766" i="6"/>
  <c r="J766" i="6"/>
  <c r="K766" i="6"/>
  <c r="H767" i="6"/>
  <c r="J767" i="6"/>
  <c r="K767" i="6"/>
  <c r="H768" i="6"/>
  <c r="J768" i="6"/>
  <c r="K768" i="6"/>
  <c r="H769" i="6"/>
  <c r="J769" i="6"/>
  <c r="K769" i="6"/>
  <c r="H770" i="6"/>
  <c r="J770" i="6"/>
  <c r="K770" i="6"/>
  <c r="H771" i="6"/>
  <c r="J771" i="6"/>
  <c r="K771" i="6"/>
  <c r="H772" i="6"/>
  <c r="J772" i="6"/>
  <c r="K772" i="6"/>
  <c r="H773" i="6"/>
  <c r="J773" i="6"/>
  <c r="K773" i="6"/>
  <c r="H774" i="6"/>
  <c r="J774" i="6"/>
  <c r="K774" i="6"/>
  <c r="H775" i="6"/>
  <c r="J775" i="6"/>
  <c r="K775" i="6"/>
  <c r="H776" i="6"/>
  <c r="J776" i="6"/>
  <c r="K776" i="6"/>
  <c r="H777" i="6"/>
  <c r="J777" i="6"/>
  <c r="K777" i="6"/>
  <c r="H778" i="6"/>
  <c r="J778" i="6"/>
  <c r="K778" i="6"/>
  <c r="H779" i="6"/>
  <c r="J779" i="6"/>
  <c r="K779" i="6"/>
  <c r="H780" i="6"/>
  <c r="J780" i="6"/>
  <c r="K780" i="6"/>
  <c r="H781" i="6"/>
  <c r="J781" i="6"/>
  <c r="K781" i="6"/>
  <c r="H782" i="6"/>
  <c r="J782" i="6"/>
  <c r="K782" i="6"/>
  <c r="H783" i="6"/>
  <c r="J783" i="6"/>
  <c r="K783" i="6"/>
  <c r="H784" i="6"/>
  <c r="J784" i="6"/>
  <c r="K784" i="6"/>
  <c r="H785" i="6"/>
  <c r="J785" i="6"/>
  <c r="K785" i="6"/>
  <c r="H786" i="6"/>
  <c r="J786" i="6"/>
  <c r="K786" i="6"/>
  <c r="H787" i="6"/>
  <c r="J787" i="6"/>
  <c r="K787" i="6"/>
  <c r="H788" i="6"/>
  <c r="J788" i="6"/>
  <c r="K788" i="6"/>
  <c r="H789" i="6"/>
  <c r="J789" i="6"/>
  <c r="K789" i="6"/>
  <c r="H790" i="6"/>
  <c r="J790" i="6"/>
  <c r="K790" i="6"/>
  <c r="H791" i="6"/>
  <c r="J791" i="6"/>
  <c r="K791" i="6"/>
  <c r="H792" i="6"/>
  <c r="J792" i="6"/>
  <c r="K792" i="6"/>
  <c r="H793" i="6"/>
  <c r="J793" i="6"/>
  <c r="K793" i="6"/>
  <c r="H794" i="6"/>
  <c r="J794" i="6"/>
  <c r="K794" i="6"/>
  <c r="H795" i="6"/>
  <c r="J795" i="6"/>
  <c r="K795" i="6"/>
  <c r="H796" i="6"/>
  <c r="J796" i="6"/>
  <c r="K796" i="6"/>
  <c r="H797" i="6"/>
  <c r="J797" i="6"/>
  <c r="K797" i="6"/>
  <c r="H798" i="6"/>
  <c r="J798" i="6"/>
  <c r="K798" i="6"/>
  <c r="H799" i="6"/>
  <c r="J799" i="6"/>
  <c r="K799" i="6"/>
  <c r="H800" i="6"/>
  <c r="J800" i="6"/>
  <c r="K800" i="6"/>
  <c r="H801" i="6"/>
  <c r="J801" i="6"/>
  <c r="K801" i="6"/>
  <c r="H802" i="6"/>
  <c r="J802" i="6"/>
  <c r="K802" i="6"/>
  <c r="H803" i="6"/>
  <c r="J803" i="6"/>
  <c r="K803" i="6"/>
  <c r="H804" i="6"/>
  <c r="J804" i="6"/>
  <c r="K804" i="6"/>
  <c r="H805" i="6"/>
  <c r="J805" i="6"/>
  <c r="K805" i="6"/>
  <c r="H806" i="6"/>
  <c r="J806" i="6"/>
  <c r="K806" i="6"/>
  <c r="H807" i="6"/>
  <c r="J807" i="6"/>
  <c r="K807" i="6"/>
  <c r="H808" i="6"/>
  <c r="J808" i="6"/>
  <c r="K808" i="6"/>
  <c r="H809" i="6"/>
  <c r="J809" i="6"/>
  <c r="K809" i="6"/>
  <c r="H810" i="6"/>
  <c r="J810" i="6"/>
  <c r="K810" i="6"/>
  <c r="H811" i="6"/>
  <c r="J811" i="6"/>
  <c r="K811" i="6"/>
  <c r="H812" i="6"/>
  <c r="J812" i="6"/>
  <c r="K812" i="6"/>
  <c r="H813" i="6"/>
  <c r="J813" i="6"/>
  <c r="K813" i="6"/>
  <c r="H814" i="6"/>
  <c r="J814" i="6"/>
  <c r="K814" i="6"/>
  <c r="H815" i="6"/>
  <c r="J815" i="6"/>
  <c r="K815" i="6"/>
  <c r="H816" i="6"/>
  <c r="J816" i="6"/>
  <c r="K816" i="6"/>
  <c r="H817" i="6"/>
  <c r="J817" i="6"/>
  <c r="K817" i="6"/>
  <c r="H818" i="6"/>
  <c r="J818" i="6"/>
  <c r="K818" i="6"/>
  <c r="H819" i="6"/>
  <c r="J819" i="6"/>
  <c r="K819" i="6"/>
  <c r="H820" i="6"/>
  <c r="J820" i="6"/>
  <c r="K820" i="6"/>
  <c r="H821" i="6"/>
  <c r="J821" i="6"/>
  <c r="K821" i="6"/>
  <c r="H822" i="6"/>
  <c r="J822" i="6"/>
  <c r="K822" i="6"/>
  <c r="H823" i="6"/>
  <c r="J823" i="6"/>
  <c r="K823" i="6"/>
  <c r="H824" i="6"/>
  <c r="J824" i="6"/>
  <c r="K824" i="6"/>
  <c r="H825" i="6"/>
  <c r="J825" i="6"/>
  <c r="K825" i="6"/>
  <c r="H826" i="6"/>
  <c r="J826" i="6"/>
  <c r="K826" i="6"/>
  <c r="H827" i="6"/>
  <c r="J827" i="6"/>
  <c r="K827" i="6"/>
  <c r="H828" i="6"/>
  <c r="J828" i="6"/>
  <c r="K828" i="6"/>
  <c r="H829" i="6"/>
  <c r="J829" i="6"/>
  <c r="K829" i="6"/>
  <c r="H830" i="6"/>
  <c r="J830" i="6"/>
  <c r="K830" i="6"/>
  <c r="H831" i="6"/>
  <c r="J831" i="6"/>
  <c r="K831" i="6"/>
  <c r="H832" i="6"/>
  <c r="J832" i="6"/>
  <c r="K832" i="6"/>
  <c r="H833" i="6"/>
  <c r="J833" i="6"/>
  <c r="K833" i="6"/>
  <c r="H834" i="6"/>
  <c r="J834" i="6"/>
  <c r="K834" i="6"/>
  <c r="H835" i="6"/>
  <c r="J835" i="6"/>
  <c r="K835" i="6"/>
  <c r="H836" i="6"/>
  <c r="J836" i="6"/>
  <c r="K836" i="6"/>
  <c r="H837" i="6"/>
  <c r="J837" i="6"/>
  <c r="K837" i="6"/>
  <c r="H838" i="6"/>
  <c r="J838" i="6"/>
  <c r="K838" i="6"/>
  <c r="H839" i="6"/>
  <c r="J839" i="6"/>
  <c r="K839" i="6"/>
  <c r="H840" i="6"/>
  <c r="J840" i="6"/>
  <c r="K840" i="6"/>
  <c r="H841" i="6"/>
  <c r="J841" i="6"/>
  <c r="K841" i="6"/>
  <c r="H842" i="6"/>
  <c r="J842" i="6"/>
  <c r="K842" i="6"/>
  <c r="H843" i="6"/>
  <c r="J843" i="6"/>
  <c r="K843" i="6"/>
  <c r="H844" i="6"/>
  <c r="J844" i="6"/>
  <c r="K844" i="6"/>
  <c r="H845" i="6"/>
  <c r="J845" i="6"/>
  <c r="K845" i="6"/>
  <c r="H846" i="6"/>
  <c r="J846" i="6"/>
  <c r="K846" i="6"/>
  <c r="H847" i="6"/>
  <c r="J847" i="6"/>
  <c r="K847" i="6"/>
  <c r="H848" i="6"/>
  <c r="J848" i="6"/>
  <c r="K848" i="6"/>
  <c r="H849" i="6"/>
  <c r="J849" i="6"/>
  <c r="K849" i="6"/>
  <c r="H850" i="6"/>
  <c r="J850" i="6"/>
  <c r="K850" i="6"/>
  <c r="H851" i="6"/>
  <c r="J851" i="6"/>
  <c r="K851" i="6"/>
  <c r="H852" i="6"/>
  <c r="J852" i="6"/>
  <c r="K852" i="6"/>
  <c r="H853" i="6"/>
  <c r="J853" i="6"/>
  <c r="K853" i="6"/>
  <c r="H854" i="6"/>
  <c r="J854" i="6"/>
  <c r="K854" i="6"/>
  <c r="H855" i="6"/>
  <c r="J855" i="6"/>
  <c r="K855" i="6"/>
  <c r="H856" i="6"/>
  <c r="J856" i="6"/>
  <c r="K856" i="6"/>
  <c r="H857" i="6"/>
  <c r="J857" i="6"/>
  <c r="K857" i="6"/>
  <c r="H858" i="6"/>
  <c r="J858" i="6"/>
  <c r="K858" i="6"/>
  <c r="H859" i="6"/>
  <c r="J859" i="6"/>
  <c r="K859" i="6"/>
  <c r="H860" i="6"/>
  <c r="J860" i="6"/>
  <c r="K860" i="6"/>
  <c r="H861" i="6"/>
  <c r="J861" i="6"/>
  <c r="K861" i="6"/>
  <c r="H862" i="6"/>
  <c r="J862" i="6"/>
  <c r="K862" i="6"/>
  <c r="H863" i="6"/>
  <c r="J863" i="6"/>
  <c r="K863" i="6"/>
  <c r="H864" i="6"/>
  <c r="J864" i="6"/>
  <c r="K864" i="6"/>
  <c r="H865" i="6"/>
  <c r="J865" i="6"/>
  <c r="K865" i="6"/>
  <c r="H866" i="6"/>
  <c r="J866" i="6"/>
  <c r="K866" i="6"/>
  <c r="H867" i="6"/>
  <c r="J867" i="6"/>
  <c r="K867" i="6"/>
  <c r="H868" i="6"/>
  <c r="J868" i="6"/>
  <c r="K868" i="6"/>
  <c r="H869" i="6"/>
  <c r="J869" i="6"/>
  <c r="K869" i="6"/>
  <c r="H870" i="6"/>
  <c r="J870" i="6"/>
  <c r="K870" i="6"/>
  <c r="H871" i="6"/>
  <c r="J871" i="6"/>
  <c r="K871" i="6"/>
  <c r="H872" i="6"/>
  <c r="J872" i="6"/>
  <c r="K872" i="6"/>
  <c r="H873" i="6"/>
  <c r="J873" i="6"/>
  <c r="K873" i="6"/>
  <c r="H874" i="6"/>
  <c r="J874" i="6"/>
  <c r="K874" i="6"/>
  <c r="H875" i="6"/>
  <c r="J875" i="6"/>
  <c r="K875" i="6"/>
  <c r="H876" i="6"/>
  <c r="J876" i="6"/>
  <c r="K876" i="6"/>
  <c r="H877" i="6"/>
  <c r="J877" i="6"/>
  <c r="K877" i="6"/>
  <c r="H878" i="6"/>
  <c r="J878" i="6"/>
  <c r="K878" i="6"/>
  <c r="H879" i="6"/>
  <c r="J879" i="6"/>
  <c r="K879" i="6"/>
  <c r="H880" i="6"/>
  <c r="J880" i="6"/>
  <c r="K880" i="6"/>
  <c r="H881" i="6"/>
  <c r="J881" i="6"/>
  <c r="K881" i="6"/>
  <c r="H882" i="6"/>
  <c r="J882" i="6"/>
  <c r="K882" i="6"/>
  <c r="H883" i="6"/>
  <c r="J883" i="6"/>
  <c r="K883" i="6"/>
  <c r="H884" i="6"/>
  <c r="J884" i="6"/>
  <c r="K884" i="6"/>
  <c r="H885" i="6"/>
  <c r="J885" i="6"/>
  <c r="K885" i="6"/>
  <c r="H886" i="6"/>
  <c r="J886" i="6"/>
  <c r="K886" i="6"/>
  <c r="H887" i="6"/>
  <c r="J887" i="6"/>
  <c r="K887" i="6"/>
  <c r="H888" i="6"/>
  <c r="J888" i="6"/>
  <c r="K888" i="6"/>
  <c r="H889" i="6"/>
  <c r="J889" i="6"/>
  <c r="K889" i="6"/>
  <c r="H890" i="6"/>
  <c r="J890" i="6"/>
  <c r="K890" i="6"/>
  <c r="H891" i="6"/>
  <c r="J891" i="6"/>
  <c r="K891" i="6"/>
  <c r="H892" i="6"/>
  <c r="J892" i="6"/>
  <c r="K892" i="6"/>
  <c r="H893" i="6"/>
  <c r="J893" i="6"/>
  <c r="K893" i="6"/>
  <c r="H894" i="6"/>
  <c r="J894" i="6"/>
  <c r="K894" i="6"/>
  <c r="H895" i="6"/>
  <c r="J895" i="6"/>
  <c r="K895" i="6"/>
  <c r="H896" i="6"/>
  <c r="J896" i="6"/>
  <c r="K896" i="6"/>
  <c r="H897" i="6"/>
  <c r="J897" i="6"/>
  <c r="K897" i="6"/>
  <c r="H898" i="6"/>
  <c r="J898" i="6"/>
  <c r="K898" i="6"/>
  <c r="H899" i="6"/>
  <c r="J899" i="6"/>
  <c r="K899" i="6"/>
  <c r="H900" i="6"/>
  <c r="J900" i="6"/>
  <c r="K900" i="6"/>
  <c r="H901" i="6"/>
  <c r="J901" i="6"/>
  <c r="K901" i="6"/>
  <c r="H902" i="6"/>
  <c r="J902" i="6"/>
  <c r="K902" i="6"/>
  <c r="H903" i="6"/>
  <c r="J903" i="6"/>
  <c r="K903" i="6"/>
  <c r="H904" i="6"/>
  <c r="J904" i="6"/>
  <c r="K904" i="6"/>
  <c r="H905" i="6"/>
  <c r="J905" i="6"/>
  <c r="K905" i="6"/>
  <c r="H906" i="6"/>
  <c r="J906" i="6"/>
  <c r="K906" i="6"/>
  <c r="H907" i="6"/>
  <c r="J907" i="6"/>
  <c r="K907" i="6"/>
  <c r="H908" i="6"/>
  <c r="J908" i="6"/>
  <c r="K908" i="6"/>
  <c r="H909" i="6"/>
  <c r="J909" i="6"/>
  <c r="K909" i="6"/>
  <c r="H910" i="6"/>
  <c r="J910" i="6"/>
  <c r="K910" i="6"/>
  <c r="H911" i="6"/>
  <c r="J911" i="6"/>
  <c r="K911" i="6"/>
  <c r="H912" i="6"/>
  <c r="J912" i="6"/>
  <c r="K912" i="6"/>
  <c r="H913" i="6"/>
  <c r="J913" i="6"/>
  <c r="K913" i="6"/>
  <c r="H914" i="6"/>
  <c r="J914" i="6"/>
  <c r="K914" i="6"/>
  <c r="H915" i="6"/>
  <c r="J915" i="6"/>
  <c r="K915" i="6"/>
  <c r="H916" i="6"/>
  <c r="J916" i="6"/>
  <c r="K916" i="6"/>
  <c r="H917" i="6"/>
  <c r="J917" i="6"/>
  <c r="K917" i="6"/>
  <c r="H918" i="6"/>
  <c r="J918" i="6"/>
  <c r="K918" i="6"/>
  <c r="H919" i="6"/>
  <c r="J919" i="6"/>
  <c r="K919" i="6"/>
  <c r="H920" i="6"/>
  <c r="J920" i="6"/>
  <c r="K920" i="6"/>
  <c r="H921" i="6"/>
  <c r="J921" i="6"/>
  <c r="K921" i="6"/>
  <c r="H922" i="6"/>
  <c r="J922" i="6"/>
  <c r="K922" i="6"/>
  <c r="H923" i="6"/>
  <c r="J923" i="6"/>
  <c r="K923" i="6"/>
  <c r="H924" i="6"/>
  <c r="J924" i="6"/>
  <c r="K924" i="6"/>
  <c r="H925" i="6"/>
  <c r="J925" i="6"/>
  <c r="K925" i="6"/>
  <c r="H926" i="6"/>
  <c r="J926" i="6"/>
  <c r="K926" i="6"/>
  <c r="H927" i="6"/>
  <c r="J927" i="6"/>
  <c r="K927" i="6"/>
  <c r="H928" i="6"/>
  <c r="J928" i="6"/>
  <c r="K928" i="6"/>
  <c r="H929" i="6"/>
  <c r="J929" i="6"/>
  <c r="K929" i="6"/>
  <c r="H930" i="6"/>
  <c r="J930" i="6"/>
  <c r="K930" i="6"/>
  <c r="H931" i="6"/>
  <c r="J931" i="6"/>
  <c r="K931" i="6"/>
  <c r="H932" i="6"/>
  <c r="J932" i="6"/>
  <c r="K932" i="6"/>
  <c r="H933" i="6"/>
  <c r="J933" i="6"/>
  <c r="K933" i="6"/>
  <c r="H934" i="6"/>
  <c r="J934" i="6"/>
  <c r="K934" i="6"/>
  <c r="H935" i="6"/>
  <c r="J935" i="6"/>
  <c r="K935" i="6"/>
  <c r="H936" i="6"/>
  <c r="J936" i="6"/>
  <c r="K936" i="6"/>
  <c r="H937" i="6"/>
  <c r="J937" i="6"/>
  <c r="K937" i="6"/>
  <c r="H938" i="6"/>
  <c r="J938" i="6"/>
  <c r="K938" i="6"/>
  <c r="H939" i="6"/>
  <c r="J939" i="6"/>
  <c r="K939" i="6"/>
  <c r="H940" i="6"/>
  <c r="J940" i="6"/>
  <c r="K940" i="6"/>
  <c r="H941" i="6"/>
  <c r="J941" i="6"/>
  <c r="K941" i="6"/>
  <c r="H942" i="6"/>
  <c r="J942" i="6"/>
  <c r="K942" i="6"/>
  <c r="H943" i="6"/>
  <c r="J943" i="6"/>
  <c r="K943" i="6"/>
  <c r="H944" i="6"/>
  <c r="J944" i="6"/>
  <c r="K944" i="6"/>
  <c r="H945" i="6"/>
  <c r="J945" i="6"/>
  <c r="K945" i="6"/>
  <c r="H946" i="6"/>
  <c r="J946" i="6"/>
  <c r="K946" i="6"/>
  <c r="H947" i="6"/>
  <c r="J947" i="6"/>
  <c r="K947" i="6"/>
  <c r="H948" i="6"/>
  <c r="J948" i="6"/>
  <c r="K948" i="6"/>
  <c r="H949" i="6"/>
  <c r="J949" i="6"/>
  <c r="K949" i="6"/>
  <c r="H950" i="6"/>
  <c r="J950" i="6"/>
  <c r="K950" i="6"/>
  <c r="H951" i="6"/>
  <c r="J951" i="6"/>
  <c r="K951" i="6"/>
  <c r="H952" i="6"/>
  <c r="J952" i="6"/>
  <c r="K952" i="6"/>
  <c r="H953" i="6"/>
  <c r="J953" i="6"/>
  <c r="K953" i="6"/>
  <c r="H954" i="6"/>
  <c r="J954" i="6"/>
  <c r="K954" i="6"/>
  <c r="H955" i="6"/>
  <c r="J955" i="6"/>
  <c r="K955" i="6"/>
  <c r="H956" i="6"/>
  <c r="J956" i="6"/>
  <c r="K956" i="6"/>
  <c r="H957" i="6"/>
  <c r="J957" i="6"/>
  <c r="K957" i="6"/>
  <c r="H958" i="6"/>
  <c r="J958" i="6"/>
  <c r="K958" i="6"/>
  <c r="H959" i="6"/>
  <c r="J959" i="6"/>
  <c r="K959" i="6"/>
  <c r="H960" i="6"/>
  <c r="J960" i="6"/>
  <c r="K960" i="6"/>
  <c r="H961" i="6"/>
  <c r="J961" i="6"/>
  <c r="K961" i="6"/>
  <c r="H962" i="6"/>
  <c r="J962" i="6"/>
  <c r="K962" i="6"/>
  <c r="H734" i="4"/>
  <c r="J734" i="4"/>
  <c r="K734" i="4"/>
  <c r="H735" i="4"/>
  <c r="J735" i="4"/>
  <c r="K735" i="4"/>
  <c r="H736" i="4"/>
  <c r="J736" i="4"/>
  <c r="K736" i="4"/>
  <c r="H737" i="4"/>
  <c r="J737" i="4"/>
  <c r="K737" i="4"/>
  <c r="H738" i="4"/>
  <c r="J738" i="4"/>
  <c r="K738" i="4"/>
  <c r="H739" i="4"/>
  <c r="J739" i="4"/>
  <c r="K739" i="4"/>
  <c r="H740" i="4"/>
  <c r="J740" i="4"/>
  <c r="K740" i="4"/>
  <c r="H741" i="4"/>
  <c r="J741" i="4"/>
  <c r="K741" i="4"/>
  <c r="H742" i="4"/>
  <c r="J742" i="4"/>
  <c r="K742" i="4"/>
  <c r="H743" i="4"/>
  <c r="J743" i="4"/>
  <c r="K743" i="4"/>
  <c r="H744" i="4"/>
  <c r="J744" i="4"/>
  <c r="K744" i="4"/>
  <c r="H745" i="4"/>
  <c r="J745" i="4"/>
  <c r="K745" i="4"/>
  <c r="H746" i="4"/>
  <c r="J746" i="4"/>
  <c r="K746" i="4"/>
  <c r="H747" i="4"/>
  <c r="J747" i="4"/>
  <c r="K747" i="4"/>
  <c r="H748" i="4"/>
  <c r="J748" i="4"/>
  <c r="K748" i="4"/>
  <c r="H749" i="4"/>
  <c r="J749" i="4"/>
  <c r="K749" i="4"/>
  <c r="H750" i="4"/>
  <c r="J750" i="4"/>
  <c r="K750" i="4"/>
  <c r="H751" i="4"/>
  <c r="J751" i="4"/>
  <c r="K751" i="4"/>
  <c r="H752" i="4"/>
  <c r="J752" i="4"/>
  <c r="K752" i="4"/>
  <c r="H753" i="4"/>
  <c r="J753" i="4"/>
  <c r="K753" i="4"/>
  <c r="H754" i="4"/>
  <c r="J754" i="4"/>
  <c r="K754" i="4"/>
  <c r="H755" i="4"/>
  <c r="J755" i="4"/>
  <c r="K755" i="4"/>
  <c r="H756" i="4"/>
  <c r="J756" i="4"/>
  <c r="K756" i="4"/>
  <c r="H757" i="4"/>
  <c r="J757" i="4"/>
  <c r="K757" i="4"/>
  <c r="H758" i="4"/>
  <c r="J758" i="4"/>
  <c r="K758" i="4"/>
  <c r="H759" i="4"/>
  <c r="J759" i="4"/>
  <c r="K759" i="4"/>
  <c r="H760" i="4"/>
  <c r="J760" i="4"/>
  <c r="K760" i="4"/>
  <c r="H761" i="4"/>
  <c r="J761" i="4"/>
  <c r="K761" i="4"/>
  <c r="H762" i="4"/>
  <c r="J762" i="4"/>
  <c r="K762" i="4"/>
  <c r="H763" i="4"/>
  <c r="J763" i="4"/>
  <c r="K763" i="4"/>
  <c r="H764" i="4"/>
  <c r="J764" i="4"/>
  <c r="K764" i="4"/>
  <c r="H765" i="4"/>
  <c r="J765" i="4"/>
  <c r="K765" i="4"/>
  <c r="H766" i="4"/>
  <c r="J766" i="4"/>
  <c r="K766" i="4"/>
  <c r="H767" i="4"/>
  <c r="J767" i="4"/>
  <c r="K767" i="4"/>
  <c r="H768" i="4"/>
  <c r="J768" i="4"/>
  <c r="K768" i="4"/>
  <c r="H769" i="4"/>
  <c r="J769" i="4"/>
  <c r="K769" i="4"/>
  <c r="H770" i="4"/>
  <c r="J770" i="4"/>
  <c r="K770" i="4"/>
  <c r="H771" i="4"/>
  <c r="J771" i="4"/>
  <c r="K771" i="4"/>
  <c r="H772" i="4"/>
  <c r="J772" i="4"/>
  <c r="K772" i="4"/>
  <c r="H773" i="4"/>
  <c r="J773" i="4"/>
  <c r="K773" i="4"/>
  <c r="H774" i="4"/>
  <c r="J774" i="4"/>
  <c r="K774" i="4"/>
  <c r="H775" i="4"/>
  <c r="J775" i="4"/>
  <c r="K775" i="4"/>
  <c r="H776" i="4"/>
  <c r="J776" i="4"/>
  <c r="K776" i="4"/>
  <c r="H777" i="4"/>
  <c r="J777" i="4"/>
  <c r="K777" i="4"/>
  <c r="H778" i="4"/>
  <c r="J778" i="4"/>
  <c r="K778" i="4"/>
  <c r="H779" i="4"/>
  <c r="J779" i="4"/>
  <c r="K779" i="4"/>
  <c r="H780" i="4"/>
  <c r="J780" i="4"/>
  <c r="K780" i="4"/>
  <c r="H781" i="4"/>
  <c r="J781" i="4"/>
  <c r="K781" i="4"/>
  <c r="H782" i="4"/>
  <c r="J782" i="4"/>
  <c r="K782" i="4"/>
  <c r="H783" i="4"/>
  <c r="J783" i="4"/>
  <c r="K783" i="4"/>
  <c r="H784" i="4"/>
  <c r="J784" i="4"/>
  <c r="K784" i="4"/>
  <c r="H785" i="4"/>
  <c r="J785" i="4"/>
  <c r="K785" i="4"/>
  <c r="H786" i="4"/>
  <c r="J786" i="4"/>
  <c r="K786" i="4"/>
  <c r="H787" i="4"/>
  <c r="J787" i="4"/>
  <c r="K787" i="4"/>
  <c r="H788" i="4"/>
  <c r="J788" i="4"/>
  <c r="K788" i="4"/>
  <c r="H789" i="4"/>
  <c r="J789" i="4"/>
  <c r="K789" i="4"/>
  <c r="H790" i="4"/>
  <c r="J790" i="4"/>
  <c r="K790" i="4"/>
  <c r="H791" i="4"/>
  <c r="J791" i="4"/>
  <c r="K791" i="4"/>
  <c r="H792" i="4"/>
  <c r="J792" i="4"/>
  <c r="K792" i="4"/>
  <c r="H793" i="4"/>
  <c r="J793" i="4"/>
  <c r="K793" i="4"/>
  <c r="H794" i="4"/>
  <c r="J794" i="4"/>
  <c r="K794" i="4"/>
  <c r="H795" i="4"/>
  <c r="J795" i="4"/>
  <c r="K795" i="4"/>
  <c r="H796" i="4"/>
  <c r="J796" i="4"/>
  <c r="K796" i="4"/>
  <c r="H797" i="4"/>
  <c r="J797" i="4"/>
  <c r="K797" i="4"/>
  <c r="H798" i="4"/>
  <c r="J798" i="4"/>
  <c r="K798" i="4"/>
  <c r="H799" i="4"/>
  <c r="J799" i="4"/>
  <c r="K799" i="4"/>
  <c r="H800" i="4"/>
  <c r="J800" i="4"/>
  <c r="K800" i="4"/>
  <c r="H801" i="4"/>
  <c r="J801" i="4"/>
  <c r="K801" i="4"/>
  <c r="H802" i="4"/>
  <c r="J802" i="4"/>
  <c r="K802" i="4"/>
  <c r="H803" i="4"/>
  <c r="J803" i="4"/>
  <c r="K803" i="4"/>
  <c r="H804" i="4"/>
  <c r="J804" i="4"/>
  <c r="K804" i="4"/>
  <c r="H805" i="4"/>
  <c r="J805" i="4"/>
  <c r="K805" i="4"/>
  <c r="H806" i="4"/>
  <c r="J806" i="4"/>
  <c r="K806" i="4"/>
  <c r="H807" i="4"/>
  <c r="J807" i="4"/>
  <c r="K807" i="4"/>
  <c r="H808" i="4"/>
  <c r="J808" i="4"/>
  <c r="K808" i="4"/>
  <c r="H809" i="4"/>
  <c r="J809" i="4"/>
  <c r="K809" i="4"/>
  <c r="H810" i="4"/>
  <c r="J810" i="4"/>
  <c r="K810" i="4"/>
  <c r="H811" i="4"/>
  <c r="J811" i="4"/>
  <c r="K811" i="4"/>
  <c r="H812" i="4"/>
  <c r="J812" i="4"/>
  <c r="K812" i="4"/>
  <c r="H813" i="4"/>
  <c r="J813" i="4"/>
  <c r="K813" i="4"/>
  <c r="H814" i="4"/>
  <c r="J814" i="4"/>
  <c r="K814" i="4"/>
  <c r="H815" i="4"/>
  <c r="J815" i="4"/>
  <c r="K815" i="4"/>
  <c r="H816" i="4"/>
  <c r="J816" i="4"/>
  <c r="K816" i="4"/>
  <c r="H817" i="4"/>
  <c r="J817" i="4"/>
  <c r="K817" i="4"/>
  <c r="H818" i="4"/>
  <c r="J818" i="4"/>
  <c r="K818" i="4"/>
  <c r="H819" i="4"/>
  <c r="J819" i="4"/>
  <c r="K819" i="4"/>
  <c r="H820" i="4"/>
  <c r="J820" i="4"/>
  <c r="K820" i="4"/>
  <c r="H821" i="4"/>
  <c r="J821" i="4"/>
  <c r="K821" i="4"/>
  <c r="H822" i="4"/>
  <c r="J822" i="4"/>
  <c r="K822" i="4"/>
  <c r="H823" i="4"/>
  <c r="J823" i="4"/>
  <c r="K823" i="4"/>
  <c r="H824" i="4"/>
  <c r="J824" i="4"/>
  <c r="K824" i="4"/>
  <c r="H825" i="4"/>
  <c r="J825" i="4"/>
  <c r="K825" i="4"/>
  <c r="H826" i="4"/>
  <c r="J826" i="4"/>
  <c r="K826" i="4"/>
  <c r="H827" i="4"/>
  <c r="J827" i="4"/>
  <c r="K827" i="4"/>
  <c r="H828" i="4"/>
  <c r="J828" i="4"/>
  <c r="K828" i="4"/>
  <c r="H829" i="4"/>
  <c r="J829" i="4"/>
  <c r="K829" i="4"/>
  <c r="H830" i="4"/>
  <c r="J830" i="4"/>
  <c r="K830" i="4"/>
  <c r="H831" i="4"/>
  <c r="J831" i="4"/>
  <c r="K831" i="4"/>
  <c r="H832" i="4"/>
  <c r="J832" i="4"/>
  <c r="K832" i="4"/>
  <c r="H833" i="4"/>
  <c r="J833" i="4"/>
  <c r="K833" i="4"/>
  <c r="H834" i="4"/>
  <c r="J834" i="4"/>
  <c r="K834" i="4"/>
  <c r="H835" i="4"/>
  <c r="J835" i="4"/>
  <c r="K835" i="4"/>
  <c r="H836" i="4"/>
  <c r="J836" i="4"/>
  <c r="K836" i="4"/>
  <c r="H837" i="4"/>
  <c r="J837" i="4"/>
  <c r="K837" i="4"/>
  <c r="H838" i="4"/>
  <c r="J838" i="4"/>
  <c r="K838" i="4"/>
  <c r="H839" i="4"/>
  <c r="J839" i="4"/>
  <c r="K839" i="4"/>
  <c r="H840" i="4"/>
  <c r="J840" i="4"/>
  <c r="K840" i="4"/>
  <c r="H841" i="4"/>
  <c r="J841" i="4"/>
  <c r="K841" i="4"/>
  <c r="H842" i="4"/>
  <c r="J842" i="4"/>
  <c r="K842" i="4"/>
  <c r="H843" i="4"/>
  <c r="J843" i="4"/>
  <c r="K843" i="4"/>
  <c r="H844" i="4"/>
  <c r="J844" i="4"/>
  <c r="K844" i="4"/>
  <c r="H845" i="4"/>
  <c r="J845" i="4"/>
  <c r="K845" i="4"/>
  <c r="H846" i="4"/>
  <c r="J846" i="4"/>
  <c r="K846" i="4"/>
  <c r="H847" i="4"/>
  <c r="J847" i="4"/>
  <c r="K847" i="4"/>
  <c r="H848" i="4"/>
  <c r="J848" i="4"/>
  <c r="K848" i="4"/>
  <c r="H849" i="4"/>
  <c r="J849" i="4"/>
  <c r="K849" i="4"/>
  <c r="H850" i="4"/>
  <c r="J850" i="4"/>
  <c r="K850" i="4"/>
  <c r="H851" i="4"/>
  <c r="J851" i="4"/>
  <c r="K851" i="4"/>
  <c r="H852" i="4"/>
  <c r="J852" i="4"/>
  <c r="K852" i="4"/>
  <c r="H853" i="4"/>
  <c r="J853" i="4"/>
  <c r="K853" i="4"/>
  <c r="H854" i="4"/>
  <c r="J854" i="4"/>
  <c r="K854" i="4"/>
  <c r="H855" i="4"/>
  <c r="J855" i="4"/>
  <c r="K855" i="4"/>
  <c r="H856" i="4"/>
  <c r="J856" i="4"/>
  <c r="K856" i="4"/>
  <c r="H857" i="4"/>
  <c r="J857" i="4"/>
  <c r="K857" i="4"/>
  <c r="H858" i="4"/>
  <c r="J858" i="4"/>
  <c r="K858" i="4"/>
  <c r="H859" i="4"/>
  <c r="J859" i="4"/>
  <c r="K859" i="4"/>
  <c r="H860" i="4"/>
  <c r="J860" i="4"/>
  <c r="K860" i="4"/>
  <c r="H861" i="4"/>
  <c r="J861" i="4"/>
  <c r="K861" i="4"/>
  <c r="H862" i="4"/>
  <c r="J862" i="4"/>
  <c r="K862" i="4"/>
  <c r="H863" i="4"/>
  <c r="J863" i="4"/>
  <c r="K863" i="4"/>
  <c r="H864" i="4"/>
  <c r="J864" i="4"/>
  <c r="K864" i="4"/>
  <c r="H865" i="4"/>
  <c r="J865" i="4"/>
  <c r="K865" i="4"/>
  <c r="H866" i="4"/>
  <c r="J866" i="4"/>
  <c r="K866" i="4"/>
  <c r="H867" i="4"/>
  <c r="J867" i="4"/>
  <c r="K867" i="4"/>
  <c r="H868" i="4"/>
  <c r="J868" i="4"/>
  <c r="K868" i="4"/>
  <c r="H869" i="4"/>
  <c r="J869" i="4"/>
  <c r="K869" i="4"/>
  <c r="H870" i="4"/>
  <c r="J870" i="4"/>
  <c r="K870" i="4"/>
  <c r="H871" i="4"/>
  <c r="J871" i="4"/>
  <c r="K871" i="4"/>
  <c r="H872" i="4"/>
  <c r="J872" i="4"/>
  <c r="K872" i="4"/>
  <c r="H873" i="4"/>
  <c r="J873" i="4"/>
  <c r="K873" i="4"/>
  <c r="H874" i="4"/>
  <c r="J874" i="4"/>
  <c r="K874" i="4"/>
  <c r="H875" i="4"/>
  <c r="J875" i="4"/>
  <c r="K875" i="4"/>
  <c r="H876" i="4"/>
  <c r="J876" i="4"/>
  <c r="K876" i="4"/>
  <c r="H877" i="4"/>
  <c r="J877" i="4"/>
  <c r="K877" i="4"/>
  <c r="H878" i="4"/>
  <c r="J878" i="4"/>
  <c r="K878" i="4"/>
  <c r="H879" i="4"/>
  <c r="J879" i="4"/>
  <c r="K879" i="4"/>
  <c r="H880" i="4"/>
  <c r="J880" i="4"/>
  <c r="K880" i="4"/>
  <c r="H881" i="4"/>
  <c r="J881" i="4"/>
  <c r="K881" i="4"/>
  <c r="H882" i="4"/>
  <c r="J882" i="4"/>
  <c r="K882" i="4"/>
  <c r="H883" i="4"/>
  <c r="J883" i="4"/>
  <c r="K883" i="4"/>
  <c r="H884" i="4"/>
  <c r="J884" i="4"/>
  <c r="K884" i="4"/>
  <c r="H885" i="4"/>
  <c r="J885" i="4"/>
  <c r="K885" i="4"/>
  <c r="H886" i="4"/>
  <c r="J886" i="4"/>
  <c r="K886" i="4"/>
  <c r="H887" i="4"/>
  <c r="J887" i="4"/>
  <c r="K887" i="4"/>
  <c r="H888" i="4"/>
  <c r="J888" i="4"/>
  <c r="K888" i="4"/>
  <c r="H889" i="4"/>
  <c r="J889" i="4"/>
  <c r="K889" i="4"/>
  <c r="H890" i="4"/>
  <c r="J890" i="4"/>
  <c r="K890" i="4"/>
  <c r="H891" i="4"/>
  <c r="J891" i="4"/>
  <c r="K891" i="4"/>
  <c r="H892" i="4"/>
  <c r="J892" i="4"/>
  <c r="K892" i="4"/>
  <c r="H893" i="4"/>
  <c r="J893" i="4"/>
  <c r="K893" i="4"/>
  <c r="H894" i="4"/>
  <c r="J894" i="4"/>
  <c r="K894" i="4"/>
  <c r="H895" i="4"/>
  <c r="J895" i="4"/>
  <c r="K895" i="4"/>
  <c r="H896" i="4"/>
  <c r="J896" i="4"/>
  <c r="K896" i="4"/>
  <c r="H897" i="4"/>
  <c r="J897" i="4"/>
  <c r="K897" i="4"/>
  <c r="H898" i="4"/>
  <c r="J898" i="4"/>
  <c r="K898" i="4"/>
  <c r="H899" i="4"/>
  <c r="J899" i="4"/>
  <c r="K899" i="4"/>
  <c r="H900" i="4"/>
  <c r="J900" i="4"/>
  <c r="K900" i="4"/>
  <c r="H901" i="4"/>
  <c r="J901" i="4"/>
  <c r="K901" i="4"/>
  <c r="H902" i="4"/>
  <c r="J902" i="4"/>
  <c r="K902" i="4"/>
  <c r="H903" i="4"/>
  <c r="J903" i="4"/>
  <c r="K903" i="4"/>
  <c r="H904" i="4"/>
  <c r="J904" i="4"/>
  <c r="K904" i="4"/>
  <c r="H905" i="4"/>
  <c r="J905" i="4"/>
  <c r="K905" i="4"/>
  <c r="H906" i="4"/>
  <c r="J906" i="4"/>
  <c r="K906" i="4"/>
  <c r="H907" i="4"/>
  <c r="J907" i="4"/>
  <c r="K907" i="4"/>
  <c r="H908" i="4"/>
  <c r="J908" i="4"/>
  <c r="K908" i="4"/>
  <c r="H909" i="4"/>
  <c r="J909" i="4"/>
  <c r="K909" i="4"/>
  <c r="H910" i="4"/>
  <c r="J910" i="4"/>
  <c r="K910" i="4"/>
  <c r="H911" i="4"/>
  <c r="J911" i="4"/>
  <c r="K911" i="4"/>
  <c r="H912" i="4"/>
  <c r="J912" i="4"/>
  <c r="K912" i="4"/>
  <c r="H913" i="4"/>
  <c r="J913" i="4"/>
  <c r="K913" i="4"/>
  <c r="H914" i="4"/>
  <c r="J914" i="4"/>
  <c r="K914" i="4"/>
  <c r="H915" i="4"/>
  <c r="J915" i="4"/>
  <c r="K915" i="4"/>
  <c r="H916" i="4"/>
  <c r="J916" i="4"/>
  <c r="K916" i="4"/>
  <c r="H917" i="4"/>
  <c r="J917" i="4"/>
  <c r="K917" i="4"/>
  <c r="H918" i="4"/>
  <c r="J918" i="4"/>
  <c r="K918" i="4"/>
  <c r="H919" i="4"/>
  <c r="J919" i="4"/>
  <c r="K919" i="4"/>
  <c r="H920" i="4"/>
  <c r="J920" i="4"/>
  <c r="K920" i="4"/>
  <c r="H921" i="4"/>
  <c r="J921" i="4"/>
  <c r="K921" i="4"/>
  <c r="H922" i="4"/>
  <c r="J922" i="4"/>
  <c r="K922" i="4"/>
  <c r="H923" i="4"/>
  <c r="J923" i="4"/>
  <c r="K923" i="4"/>
  <c r="H924" i="4"/>
  <c r="J924" i="4"/>
  <c r="K924" i="4"/>
  <c r="H925" i="4"/>
  <c r="J925" i="4"/>
  <c r="K925" i="4"/>
  <c r="H926" i="4"/>
  <c r="J926" i="4"/>
  <c r="K926" i="4"/>
  <c r="H927" i="4"/>
  <c r="J927" i="4"/>
  <c r="K927" i="4"/>
  <c r="H928" i="4"/>
  <c r="J928" i="4"/>
  <c r="K928" i="4"/>
  <c r="H929" i="4"/>
  <c r="J929" i="4"/>
  <c r="K929" i="4"/>
  <c r="H930" i="4"/>
  <c r="J930" i="4"/>
  <c r="K930" i="4"/>
  <c r="H931" i="4"/>
  <c r="J931" i="4"/>
  <c r="K931" i="4"/>
  <c r="H932" i="4"/>
  <c r="J932" i="4"/>
  <c r="K932" i="4"/>
  <c r="H933" i="4"/>
  <c r="J933" i="4"/>
  <c r="K933" i="4"/>
  <c r="H934" i="4"/>
  <c r="J934" i="4"/>
  <c r="K934" i="4"/>
  <c r="H935" i="4"/>
  <c r="J935" i="4"/>
  <c r="K935" i="4"/>
  <c r="H936" i="4"/>
  <c r="J936" i="4"/>
  <c r="K936" i="4"/>
  <c r="H937" i="4"/>
  <c r="J937" i="4"/>
  <c r="K937" i="4"/>
  <c r="H938" i="4"/>
  <c r="J938" i="4"/>
  <c r="K938" i="4"/>
  <c r="H939" i="4"/>
  <c r="J939" i="4"/>
  <c r="K939" i="4"/>
  <c r="H940" i="4"/>
  <c r="J940" i="4"/>
  <c r="K940" i="4"/>
  <c r="H941" i="4"/>
  <c r="J941" i="4"/>
  <c r="K941" i="4"/>
  <c r="H942" i="4"/>
  <c r="J942" i="4"/>
  <c r="K942" i="4"/>
  <c r="H943" i="4"/>
  <c r="J943" i="4"/>
  <c r="K943" i="4"/>
  <c r="H944" i="4"/>
  <c r="J944" i="4"/>
  <c r="K944" i="4"/>
  <c r="H945" i="4"/>
  <c r="J945" i="4"/>
  <c r="K945" i="4"/>
  <c r="H946" i="4"/>
  <c r="J946" i="4"/>
  <c r="K946" i="4"/>
  <c r="H947" i="4"/>
  <c r="J947" i="4"/>
  <c r="K947" i="4"/>
  <c r="H732" i="4"/>
  <c r="J732" i="4"/>
  <c r="K732" i="4"/>
  <c r="H733" i="4"/>
  <c r="J733" i="4"/>
  <c r="K733" i="4"/>
  <c r="H728" i="2"/>
  <c r="J728" i="2"/>
  <c r="K728" i="2"/>
  <c r="H729" i="2"/>
  <c r="J729" i="2"/>
  <c r="K729" i="2"/>
  <c r="H730" i="2"/>
  <c r="J730" i="2"/>
  <c r="K730" i="2"/>
  <c r="H731" i="2"/>
  <c r="J731" i="2"/>
  <c r="K731" i="2"/>
  <c r="H732" i="2"/>
  <c r="J732" i="2"/>
  <c r="K732" i="2"/>
  <c r="H733" i="2"/>
  <c r="J733" i="2"/>
  <c r="K733" i="2"/>
  <c r="H734" i="2"/>
  <c r="J734" i="2"/>
  <c r="K734" i="2"/>
  <c r="H735" i="2"/>
  <c r="J735" i="2"/>
  <c r="K735" i="2"/>
  <c r="H736" i="2"/>
  <c r="J736" i="2"/>
  <c r="K736" i="2"/>
  <c r="H737" i="2"/>
  <c r="J737" i="2"/>
  <c r="K737" i="2"/>
  <c r="H738" i="2"/>
  <c r="J738" i="2"/>
  <c r="K738" i="2"/>
  <c r="H739" i="2"/>
  <c r="J739" i="2"/>
  <c r="K739" i="2"/>
  <c r="H740" i="2"/>
  <c r="J740" i="2"/>
  <c r="K740" i="2"/>
  <c r="H741" i="2"/>
  <c r="J741" i="2"/>
  <c r="K741" i="2"/>
  <c r="H742" i="2"/>
  <c r="J742" i="2"/>
  <c r="K742" i="2"/>
  <c r="H743" i="2"/>
  <c r="J743" i="2"/>
  <c r="K743" i="2"/>
  <c r="H744" i="2"/>
  <c r="J744" i="2"/>
  <c r="K744" i="2"/>
  <c r="H745" i="2"/>
  <c r="J745" i="2"/>
  <c r="K745" i="2"/>
  <c r="H746" i="2"/>
  <c r="J746" i="2"/>
  <c r="K746" i="2"/>
  <c r="H747" i="2"/>
  <c r="J747" i="2"/>
  <c r="K747" i="2"/>
  <c r="H748" i="2"/>
  <c r="J748" i="2"/>
  <c r="K748" i="2"/>
  <c r="H749" i="2"/>
  <c r="J749" i="2"/>
  <c r="K749" i="2"/>
  <c r="H750" i="2"/>
  <c r="J750" i="2"/>
  <c r="K750" i="2"/>
  <c r="H751" i="2"/>
  <c r="J751" i="2"/>
  <c r="K751" i="2"/>
  <c r="H752" i="2"/>
  <c r="J752" i="2"/>
  <c r="K752" i="2"/>
  <c r="H753" i="2"/>
  <c r="J753" i="2"/>
  <c r="K753" i="2"/>
  <c r="H754" i="2"/>
  <c r="J754" i="2"/>
  <c r="K754" i="2"/>
  <c r="H755" i="2"/>
  <c r="J755" i="2"/>
  <c r="K755" i="2"/>
  <c r="H756" i="2"/>
  <c r="J756" i="2"/>
  <c r="K756" i="2"/>
  <c r="H757" i="2"/>
  <c r="J757" i="2"/>
  <c r="K757" i="2"/>
  <c r="H758" i="2"/>
  <c r="J758" i="2"/>
  <c r="K758" i="2"/>
  <c r="H759" i="2"/>
  <c r="J759" i="2"/>
  <c r="K759" i="2"/>
  <c r="H760" i="2"/>
  <c r="J760" i="2"/>
  <c r="K760" i="2"/>
  <c r="H761" i="2"/>
  <c r="J761" i="2"/>
  <c r="K761" i="2"/>
  <c r="H762" i="2"/>
  <c r="J762" i="2"/>
  <c r="K762" i="2"/>
  <c r="H763" i="2"/>
  <c r="J763" i="2"/>
  <c r="K763" i="2"/>
  <c r="H764" i="2"/>
  <c r="J764" i="2"/>
  <c r="K764" i="2"/>
  <c r="H765" i="2"/>
  <c r="J765" i="2"/>
  <c r="K765" i="2"/>
  <c r="H766" i="2"/>
  <c r="J766" i="2"/>
  <c r="K766" i="2"/>
  <c r="H767" i="2"/>
  <c r="J767" i="2"/>
  <c r="K767" i="2"/>
  <c r="H768" i="2"/>
  <c r="J768" i="2"/>
  <c r="K768" i="2"/>
  <c r="H769" i="2"/>
  <c r="J769" i="2"/>
  <c r="K769" i="2"/>
  <c r="H770" i="2"/>
  <c r="J770" i="2"/>
  <c r="K770" i="2"/>
  <c r="H771" i="2"/>
  <c r="J771" i="2"/>
  <c r="K771" i="2"/>
  <c r="H772" i="2"/>
  <c r="J772" i="2"/>
  <c r="K772" i="2"/>
  <c r="H773" i="2"/>
  <c r="J773" i="2"/>
  <c r="K773" i="2"/>
  <c r="H774" i="2"/>
  <c r="J774" i="2"/>
  <c r="K774" i="2"/>
  <c r="H775" i="2"/>
  <c r="J775" i="2"/>
  <c r="K775" i="2"/>
  <c r="H776" i="2"/>
  <c r="J776" i="2"/>
  <c r="K776" i="2"/>
  <c r="H777" i="2"/>
  <c r="J777" i="2"/>
  <c r="K777" i="2"/>
  <c r="H778" i="2"/>
  <c r="J778" i="2"/>
  <c r="K778" i="2"/>
  <c r="H779" i="2"/>
  <c r="J779" i="2"/>
  <c r="K779" i="2"/>
  <c r="H780" i="2"/>
  <c r="J780" i="2"/>
  <c r="K780" i="2"/>
  <c r="H781" i="2"/>
  <c r="J781" i="2"/>
  <c r="K781" i="2"/>
  <c r="H782" i="2"/>
  <c r="J782" i="2"/>
  <c r="K782" i="2"/>
  <c r="H783" i="2"/>
  <c r="J783" i="2"/>
  <c r="K783" i="2"/>
  <c r="H784" i="2"/>
  <c r="J784" i="2"/>
  <c r="K784" i="2"/>
  <c r="H785" i="2"/>
  <c r="J785" i="2"/>
  <c r="K785" i="2"/>
  <c r="H786" i="2"/>
  <c r="J786" i="2"/>
  <c r="K786" i="2"/>
  <c r="H787" i="2"/>
  <c r="J787" i="2"/>
  <c r="K787" i="2"/>
  <c r="H788" i="2"/>
  <c r="J788" i="2"/>
  <c r="K788" i="2"/>
  <c r="H789" i="2"/>
  <c r="J789" i="2"/>
  <c r="K789" i="2"/>
  <c r="H790" i="2"/>
  <c r="J790" i="2"/>
  <c r="K790" i="2"/>
  <c r="H791" i="2"/>
  <c r="J791" i="2"/>
  <c r="K791" i="2"/>
  <c r="H792" i="2"/>
  <c r="J792" i="2"/>
  <c r="K792" i="2"/>
  <c r="H793" i="2"/>
  <c r="J793" i="2"/>
  <c r="K793" i="2"/>
  <c r="H794" i="2"/>
  <c r="J794" i="2"/>
  <c r="K794" i="2"/>
  <c r="H795" i="2"/>
  <c r="J795" i="2"/>
  <c r="K795" i="2"/>
  <c r="H796" i="2"/>
  <c r="J796" i="2"/>
  <c r="K796" i="2"/>
  <c r="H797" i="2"/>
  <c r="J797" i="2"/>
  <c r="K797" i="2"/>
  <c r="H798" i="2"/>
  <c r="J798" i="2"/>
  <c r="K798" i="2"/>
  <c r="H799" i="2"/>
  <c r="J799" i="2"/>
  <c r="K799" i="2"/>
  <c r="H800" i="2"/>
  <c r="J800" i="2"/>
  <c r="K800" i="2"/>
  <c r="H801" i="2"/>
  <c r="J801" i="2"/>
  <c r="K801" i="2"/>
  <c r="H802" i="2"/>
  <c r="J802" i="2"/>
  <c r="K802" i="2"/>
  <c r="H803" i="2"/>
  <c r="J803" i="2"/>
  <c r="K803" i="2"/>
  <c r="H804" i="2"/>
  <c r="J804" i="2"/>
  <c r="K804" i="2"/>
  <c r="H805" i="2"/>
  <c r="J805" i="2"/>
  <c r="K805" i="2"/>
  <c r="H806" i="2"/>
  <c r="J806" i="2"/>
  <c r="K806" i="2"/>
  <c r="H807" i="2"/>
  <c r="J807" i="2"/>
  <c r="K807" i="2"/>
  <c r="H808" i="2"/>
  <c r="J808" i="2"/>
  <c r="K808" i="2"/>
  <c r="H809" i="2"/>
  <c r="J809" i="2"/>
  <c r="K809" i="2"/>
  <c r="H810" i="2"/>
  <c r="J810" i="2"/>
  <c r="K810" i="2"/>
  <c r="H811" i="2"/>
  <c r="J811" i="2"/>
  <c r="K811" i="2"/>
  <c r="H812" i="2"/>
  <c r="J812" i="2"/>
  <c r="K812" i="2"/>
  <c r="H813" i="2"/>
  <c r="J813" i="2"/>
  <c r="K813" i="2"/>
  <c r="H814" i="2"/>
  <c r="J814" i="2"/>
  <c r="K814" i="2"/>
  <c r="H815" i="2"/>
  <c r="J815" i="2"/>
  <c r="K815" i="2"/>
  <c r="H816" i="2"/>
  <c r="J816" i="2"/>
  <c r="K816" i="2"/>
  <c r="H817" i="2"/>
  <c r="J817" i="2"/>
  <c r="K817" i="2"/>
  <c r="H818" i="2"/>
  <c r="J818" i="2"/>
  <c r="K818" i="2"/>
  <c r="H819" i="2"/>
  <c r="J819" i="2"/>
  <c r="K819" i="2"/>
  <c r="H820" i="2"/>
  <c r="J820" i="2"/>
  <c r="K820" i="2"/>
  <c r="H821" i="2"/>
  <c r="J821" i="2"/>
  <c r="K821" i="2"/>
  <c r="H822" i="2"/>
  <c r="J822" i="2"/>
  <c r="K822" i="2"/>
  <c r="H823" i="2"/>
  <c r="J823" i="2"/>
  <c r="K823" i="2"/>
  <c r="H824" i="2"/>
  <c r="J824" i="2"/>
  <c r="K824" i="2"/>
  <c r="H825" i="2"/>
  <c r="J825" i="2"/>
  <c r="K825" i="2"/>
  <c r="H826" i="2"/>
  <c r="J826" i="2"/>
  <c r="K826" i="2"/>
  <c r="H827" i="2"/>
  <c r="J827" i="2"/>
  <c r="K827" i="2"/>
  <c r="H828" i="2"/>
  <c r="J828" i="2"/>
  <c r="K828" i="2"/>
  <c r="H829" i="2"/>
  <c r="J829" i="2"/>
  <c r="K829" i="2"/>
  <c r="H830" i="2"/>
  <c r="J830" i="2"/>
  <c r="K830" i="2"/>
  <c r="H831" i="2"/>
  <c r="J831" i="2"/>
  <c r="K831" i="2"/>
  <c r="H832" i="2"/>
  <c r="J832" i="2"/>
  <c r="K832" i="2"/>
  <c r="H833" i="2"/>
  <c r="J833" i="2"/>
  <c r="K833" i="2"/>
  <c r="H834" i="2"/>
  <c r="J834" i="2"/>
  <c r="K834" i="2"/>
  <c r="H835" i="2"/>
  <c r="J835" i="2"/>
  <c r="K835" i="2"/>
  <c r="H836" i="2"/>
  <c r="J836" i="2"/>
  <c r="K836" i="2"/>
  <c r="H837" i="2"/>
  <c r="J837" i="2"/>
  <c r="K837" i="2"/>
  <c r="H838" i="2"/>
  <c r="J838" i="2"/>
  <c r="K838" i="2"/>
  <c r="H839" i="2"/>
  <c r="J839" i="2"/>
  <c r="K839" i="2"/>
  <c r="H840" i="2"/>
  <c r="J840" i="2"/>
  <c r="K840" i="2"/>
  <c r="H841" i="2"/>
  <c r="J841" i="2"/>
  <c r="K841" i="2"/>
  <c r="H842" i="2"/>
  <c r="J842" i="2"/>
  <c r="K842" i="2"/>
  <c r="H843" i="2"/>
  <c r="J843" i="2"/>
  <c r="K843" i="2"/>
  <c r="H844" i="2"/>
  <c r="J844" i="2"/>
  <c r="K844" i="2"/>
  <c r="H845" i="2"/>
  <c r="J845" i="2"/>
  <c r="K845" i="2"/>
  <c r="H846" i="2"/>
  <c r="J846" i="2"/>
  <c r="K846" i="2"/>
  <c r="H847" i="2"/>
  <c r="J847" i="2"/>
  <c r="K847" i="2"/>
  <c r="H848" i="2"/>
  <c r="J848" i="2"/>
  <c r="K848" i="2"/>
  <c r="H849" i="2"/>
  <c r="J849" i="2"/>
  <c r="K849" i="2"/>
  <c r="H850" i="2"/>
  <c r="J850" i="2"/>
  <c r="K850" i="2"/>
  <c r="H851" i="2"/>
  <c r="J851" i="2"/>
  <c r="K851" i="2"/>
  <c r="H852" i="2"/>
  <c r="J852" i="2"/>
  <c r="K852" i="2"/>
  <c r="H853" i="2"/>
  <c r="J853" i="2"/>
  <c r="K853" i="2"/>
  <c r="H854" i="2"/>
  <c r="J854" i="2"/>
  <c r="K854" i="2"/>
  <c r="H855" i="2"/>
  <c r="J855" i="2"/>
  <c r="K855" i="2"/>
  <c r="H856" i="2"/>
  <c r="J856" i="2"/>
  <c r="K856" i="2"/>
  <c r="H857" i="2"/>
  <c r="J857" i="2"/>
  <c r="K857" i="2"/>
  <c r="H858" i="2"/>
  <c r="J858" i="2"/>
  <c r="K858" i="2"/>
  <c r="H859" i="2"/>
  <c r="J859" i="2"/>
  <c r="K859" i="2"/>
  <c r="H860" i="2"/>
  <c r="J860" i="2"/>
  <c r="K860" i="2"/>
  <c r="H861" i="2"/>
  <c r="J861" i="2"/>
  <c r="K861" i="2"/>
  <c r="H862" i="2"/>
  <c r="J862" i="2"/>
  <c r="K862" i="2"/>
  <c r="H863" i="2"/>
  <c r="J863" i="2"/>
  <c r="K863" i="2"/>
  <c r="H864" i="2"/>
  <c r="J864" i="2"/>
  <c r="K864" i="2"/>
  <c r="H865" i="2"/>
  <c r="J865" i="2"/>
  <c r="K865" i="2"/>
  <c r="H866" i="2"/>
  <c r="J866" i="2"/>
  <c r="K866" i="2"/>
  <c r="H867" i="2"/>
  <c r="J867" i="2"/>
  <c r="K867" i="2"/>
  <c r="H868" i="2"/>
  <c r="J868" i="2"/>
  <c r="K868" i="2"/>
  <c r="H869" i="2"/>
  <c r="J869" i="2"/>
  <c r="K869" i="2"/>
  <c r="H870" i="2"/>
  <c r="J870" i="2"/>
  <c r="K870" i="2"/>
  <c r="H871" i="2"/>
  <c r="J871" i="2"/>
  <c r="K871" i="2"/>
  <c r="H872" i="2"/>
  <c r="J872" i="2"/>
  <c r="K872" i="2"/>
  <c r="H873" i="2"/>
  <c r="J873" i="2"/>
  <c r="K873" i="2"/>
  <c r="H874" i="2"/>
  <c r="J874" i="2"/>
  <c r="K874" i="2"/>
  <c r="H875" i="2"/>
  <c r="J875" i="2"/>
  <c r="K875" i="2"/>
  <c r="H876" i="2"/>
  <c r="J876" i="2"/>
  <c r="K876" i="2"/>
  <c r="H877" i="2"/>
  <c r="J877" i="2"/>
  <c r="K877" i="2"/>
  <c r="H878" i="2"/>
  <c r="J878" i="2"/>
  <c r="K878" i="2"/>
  <c r="H879" i="2"/>
  <c r="J879" i="2"/>
  <c r="K879" i="2"/>
  <c r="H880" i="2"/>
  <c r="J880" i="2"/>
  <c r="K880" i="2"/>
  <c r="H881" i="2"/>
  <c r="J881" i="2"/>
  <c r="K881" i="2"/>
  <c r="H882" i="2"/>
  <c r="J882" i="2"/>
  <c r="K882" i="2"/>
  <c r="H883" i="2"/>
  <c r="J883" i="2"/>
  <c r="K883" i="2"/>
  <c r="H884" i="2"/>
  <c r="J884" i="2"/>
  <c r="K884" i="2"/>
  <c r="H885" i="2"/>
  <c r="J885" i="2"/>
  <c r="K885" i="2"/>
  <c r="H886" i="2"/>
  <c r="J886" i="2"/>
  <c r="K886" i="2"/>
  <c r="H887" i="2"/>
  <c r="J887" i="2"/>
  <c r="K887" i="2"/>
  <c r="H888" i="2"/>
  <c r="J888" i="2"/>
  <c r="K888" i="2"/>
  <c r="H889" i="2"/>
  <c r="J889" i="2"/>
  <c r="K889" i="2"/>
  <c r="H890" i="2"/>
  <c r="J890" i="2"/>
  <c r="K890" i="2"/>
  <c r="H891" i="2"/>
  <c r="J891" i="2"/>
  <c r="K891" i="2"/>
  <c r="H892" i="2"/>
  <c r="J892" i="2"/>
  <c r="K892" i="2"/>
  <c r="H893" i="2"/>
  <c r="J893" i="2"/>
  <c r="K893" i="2"/>
  <c r="H894" i="2"/>
  <c r="J894" i="2"/>
  <c r="K894" i="2"/>
  <c r="H895" i="2"/>
  <c r="J895" i="2"/>
  <c r="K895" i="2"/>
  <c r="H896" i="2"/>
  <c r="J896" i="2"/>
  <c r="K896" i="2"/>
  <c r="H897" i="2"/>
  <c r="J897" i="2"/>
  <c r="K897" i="2"/>
  <c r="H898" i="2"/>
  <c r="J898" i="2"/>
  <c r="K898" i="2"/>
  <c r="H899" i="2"/>
  <c r="J899" i="2"/>
  <c r="K899" i="2"/>
  <c r="H900" i="2"/>
  <c r="J900" i="2"/>
  <c r="K900" i="2"/>
  <c r="H901" i="2"/>
  <c r="J901" i="2"/>
  <c r="K901" i="2"/>
  <c r="H902" i="2"/>
  <c r="J902" i="2"/>
  <c r="K902" i="2"/>
  <c r="H903" i="2"/>
  <c r="J903" i="2"/>
  <c r="K903" i="2"/>
  <c r="H904" i="2"/>
  <c r="J904" i="2"/>
  <c r="K904" i="2"/>
  <c r="H905" i="2"/>
  <c r="J905" i="2"/>
  <c r="K905" i="2"/>
  <c r="H906" i="2"/>
  <c r="J906" i="2"/>
  <c r="K906" i="2"/>
  <c r="H907" i="2"/>
  <c r="J907" i="2"/>
  <c r="K907" i="2"/>
  <c r="H908" i="2"/>
  <c r="J908" i="2"/>
  <c r="K908" i="2"/>
  <c r="H909" i="2"/>
  <c r="J909" i="2"/>
  <c r="K909" i="2"/>
  <c r="H910" i="2"/>
  <c r="J910" i="2"/>
  <c r="K910" i="2"/>
  <c r="H911" i="2"/>
  <c r="J911" i="2"/>
  <c r="K911" i="2"/>
  <c r="H912" i="2"/>
  <c r="J912" i="2"/>
  <c r="K912" i="2"/>
  <c r="H913" i="2"/>
  <c r="J913" i="2"/>
  <c r="K913" i="2"/>
  <c r="H914" i="2"/>
  <c r="J914" i="2"/>
  <c r="K914" i="2"/>
  <c r="H915" i="2"/>
  <c r="J915" i="2"/>
  <c r="K915" i="2"/>
  <c r="H916" i="2"/>
  <c r="J916" i="2"/>
  <c r="K916" i="2"/>
  <c r="H917" i="2"/>
  <c r="J917" i="2"/>
  <c r="K917" i="2"/>
  <c r="H918" i="2"/>
  <c r="J918" i="2"/>
  <c r="K918" i="2"/>
  <c r="H919" i="2"/>
  <c r="J919" i="2"/>
  <c r="K919" i="2"/>
  <c r="H920" i="2"/>
  <c r="J920" i="2"/>
  <c r="K920" i="2"/>
  <c r="H921" i="2"/>
  <c r="J921" i="2"/>
  <c r="K921" i="2"/>
  <c r="H922" i="2"/>
  <c r="J922" i="2"/>
  <c r="K922" i="2"/>
  <c r="H923" i="2"/>
  <c r="J923" i="2"/>
  <c r="K923" i="2"/>
  <c r="H924" i="2"/>
  <c r="J924" i="2"/>
  <c r="K924" i="2"/>
  <c r="H925" i="2"/>
  <c r="J925" i="2"/>
  <c r="K925" i="2"/>
  <c r="H926" i="2"/>
  <c r="J926" i="2"/>
  <c r="K926" i="2"/>
  <c r="H927" i="2"/>
  <c r="J927" i="2"/>
  <c r="K927" i="2"/>
  <c r="H928" i="2"/>
  <c r="J928" i="2"/>
  <c r="K928" i="2"/>
  <c r="H929" i="2"/>
  <c r="J929" i="2"/>
  <c r="K929" i="2"/>
  <c r="H930" i="2"/>
  <c r="J930" i="2"/>
  <c r="K930" i="2"/>
  <c r="H931" i="2"/>
  <c r="J931" i="2"/>
  <c r="K931" i="2"/>
  <c r="H932" i="2"/>
  <c r="J932" i="2"/>
  <c r="K932" i="2"/>
  <c r="H933" i="2"/>
  <c r="J933" i="2"/>
  <c r="K933" i="2"/>
  <c r="H934" i="2"/>
  <c r="J934" i="2"/>
  <c r="K934" i="2"/>
  <c r="H935" i="2"/>
  <c r="J935" i="2"/>
  <c r="K935" i="2"/>
  <c r="H936" i="2"/>
  <c r="J936" i="2"/>
  <c r="K936" i="2"/>
  <c r="H937" i="2"/>
  <c r="J937" i="2"/>
  <c r="K937" i="2"/>
  <c r="H938" i="2"/>
  <c r="J938" i="2"/>
  <c r="K938" i="2"/>
  <c r="H939" i="2"/>
  <c r="J939" i="2"/>
  <c r="K939" i="2"/>
  <c r="H940" i="2"/>
  <c r="J940" i="2"/>
  <c r="K940" i="2"/>
  <c r="H941" i="2"/>
  <c r="J941" i="2"/>
  <c r="K941" i="2"/>
  <c r="H942" i="2"/>
  <c r="J942" i="2"/>
  <c r="K942" i="2"/>
  <c r="H943" i="2"/>
  <c r="J943" i="2"/>
  <c r="K943" i="2"/>
  <c r="H411" i="2"/>
  <c r="J411" i="2"/>
  <c r="K411" i="2"/>
  <c r="H412" i="2"/>
  <c r="J412" i="2"/>
  <c r="K412" i="2"/>
  <c r="H413" i="2"/>
  <c r="J413" i="2"/>
  <c r="K413" i="2"/>
  <c r="H414" i="2"/>
  <c r="J414" i="2"/>
  <c r="K414" i="2"/>
  <c r="H415" i="2"/>
  <c r="J415" i="2"/>
  <c r="K415" i="2"/>
  <c r="H416" i="2"/>
  <c r="J416" i="2"/>
  <c r="K416" i="2"/>
  <c r="H417" i="2"/>
  <c r="J417" i="2"/>
  <c r="K417" i="2"/>
  <c r="H418" i="2"/>
  <c r="J418" i="2"/>
  <c r="K418" i="2"/>
  <c r="H419" i="2"/>
  <c r="J419" i="2"/>
  <c r="K419" i="2"/>
  <c r="H420" i="2"/>
  <c r="J420" i="2"/>
  <c r="K420" i="2"/>
  <c r="H421" i="2"/>
  <c r="J421" i="2"/>
  <c r="K421" i="2"/>
  <c r="H422" i="2"/>
  <c r="J422" i="2"/>
  <c r="K422" i="2"/>
  <c r="H423" i="2"/>
  <c r="J423" i="2"/>
  <c r="K423" i="2"/>
  <c r="H424" i="2"/>
  <c r="J424" i="2"/>
  <c r="K424" i="2"/>
  <c r="H425" i="2"/>
  <c r="J425" i="2"/>
  <c r="K425" i="2"/>
  <c r="H426" i="2"/>
  <c r="J426" i="2"/>
  <c r="K426" i="2"/>
  <c r="H427" i="2"/>
  <c r="J427" i="2"/>
  <c r="K427" i="2"/>
  <c r="H428" i="2"/>
  <c r="J428" i="2"/>
  <c r="K428" i="2"/>
  <c r="H429" i="2"/>
  <c r="J429" i="2"/>
  <c r="K429" i="2"/>
  <c r="H430" i="2"/>
  <c r="J430" i="2"/>
  <c r="K430" i="2"/>
  <c r="H431" i="2"/>
  <c r="J431" i="2"/>
  <c r="K431" i="2"/>
  <c r="H432" i="2"/>
  <c r="J432" i="2"/>
  <c r="K432" i="2"/>
  <c r="H433" i="2"/>
  <c r="J433" i="2"/>
  <c r="K433" i="2"/>
  <c r="H434" i="2"/>
  <c r="J434" i="2"/>
  <c r="K434" i="2"/>
  <c r="H435" i="2"/>
  <c r="J435" i="2"/>
  <c r="K435" i="2"/>
  <c r="H436" i="2"/>
  <c r="J436" i="2"/>
  <c r="K436" i="2"/>
  <c r="H437" i="2"/>
  <c r="J437" i="2"/>
  <c r="K437" i="2"/>
  <c r="H438" i="2"/>
  <c r="J438" i="2"/>
  <c r="K438" i="2"/>
  <c r="H439" i="2"/>
  <c r="J439" i="2"/>
  <c r="K439" i="2"/>
  <c r="H440" i="2"/>
  <c r="J440" i="2"/>
  <c r="K440" i="2"/>
  <c r="H441" i="2"/>
  <c r="J441" i="2"/>
  <c r="K441" i="2"/>
  <c r="H442" i="2"/>
  <c r="J442" i="2"/>
  <c r="K442" i="2"/>
  <c r="H443" i="2"/>
  <c r="J443" i="2"/>
  <c r="K443" i="2"/>
  <c r="H444" i="2"/>
  <c r="J444" i="2"/>
  <c r="K444" i="2"/>
  <c r="H445" i="2"/>
  <c r="J445" i="2"/>
  <c r="K445" i="2"/>
  <c r="H446" i="2"/>
  <c r="J446" i="2"/>
  <c r="K446" i="2"/>
  <c r="H447" i="2"/>
  <c r="J447" i="2"/>
  <c r="K447" i="2"/>
  <c r="H448" i="2"/>
  <c r="J448" i="2"/>
  <c r="K448" i="2"/>
  <c r="H449" i="2"/>
  <c r="J449" i="2"/>
  <c r="K449" i="2"/>
  <c r="H450" i="2"/>
  <c r="J450" i="2"/>
  <c r="K450" i="2"/>
  <c r="H451" i="2"/>
  <c r="J451" i="2"/>
  <c r="K451" i="2"/>
  <c r="H452" i="2"/>
  <c r="J452" i="2"/>
  <c r="K452" i="2"/>
  <c r="H453" i="2"/>
  <c r="J453" i="2"/>
  <c r="K453" i="2"/>
  <c r="H454" i="2"/>
  <c r="J454" i="2"/>
  <c r="K454" i="2"/>
  <c r="H455" i="2"/>
  <c r="J455" i="2"/>
  <c r="K455" i="2"/>
  <c r="H456" i="2"/>
  <c r="J456" i="2"/>
  <c r="K456" i="2"/>
  <c r="H457" i="2"/>
  <c r="J457" i="2"/>
  <c r="K457" i="2"/>
  <c r="H458" i="2"/>
  <c r="J458" i="2"/>
  <c r="K458" i="2"/>
  <c r="H459" i="2"/>
  <c r="J459" i="2"/>
  <c r="K459" i="2"/>
  <c r="H460" i="2"/>
  <c r="J460" i="2"/>
  <c r="K460" i="2"/>
  <c r="H461" i="2"/>
  <c r="J461" i="2"/>
  <c r="K461" i="2"/>
  <c r="H462" i="2"/>
  <c r="J462" i="2"/>
  <c r="K462" i="2"/>
  <c r="H463" i="2"/>
  <c r="J463" i="2"/>
  <c r="K463" i="2"/>
  <c r="H464" i="2"/>
  <c r="J464" i="2"/>
  <c r="K464" i="2"/>
  <c r="H465" i="2"/>
  <c r="J465" i="2"/>
  <c r="K465" i="2"/>
  <c r="H466" i="2"/>
  <c r="J466" i="2"/>
  <c r="K466" i="2"/>
  <c r="H467" i="2"/>
  <c r="J467" i="2"/>
  <c r="K467" i="2"/>
  <c r="H468" i="2"/>
  <c r="J468" i="2"/>
  <c r="K468" i="2"/>
  <c r="H469" i="2"/>
  <c r="J469" i="2"/>
  <c r="K469" i="2"/>
  <c r="H470" i="2"/>
  <c r="J470" i="2"/>
  <c r="K470" i="2"/>
  <c r="H471" i="2"/>
  <c r="J471" i="2"/>
  <c r="K471" i="2"/>
  <c r="H472" i="2"/>
  <c r="J472" i="2"/>
  <c r="K472" i="2"/>
  <c r="H473" i="2"/>
  <c r="J473" i="2"/>
  <c r="K473" i="2"/>
  <c r="H474" i="2"/>
  <c r="J474" i="2"/>
  <c r="K474" i="2"/>
  <c r="H475" i="2"/>
  <c r="J475" i="2"/>
  <c r="K475" i="2"/>
  <c r="H476" i="2"/>
  <c r="J476" i="2"/>
  <c r="K476" i="2"/>
  <c r="H477" i="2"/>
  <c r="J477" i="2"/>
  <c r="K477" i="2"/>
  <c r="H478" i="2"/>
  <c r="J478" i="2"/>
  <c r="K478" i="2"/>
  <c r="H479" i="2"/>
  <c r="J479" i="2"/>
  <c r="K479" i="2"/>
  <c r="H480" i="2"/>
  <c r="J480" i="2"/>
  <c r="K480" i="2"/>
  <c r="H481" i="2"/>
  <c r="J481" i="2"/>
  <c r="K481" i="2"/>
  <c r="H482" i="2"/>
  <c r="J482" i="2"/>
  <c r="K482" i="2"/>
  <c r="H483" i="2"/>
  <c r="J483" i="2"/>
  <c r="K483" i="2"/>
  <c r="H484" i="2"/>
  <c r="J484" i="2"/>
  <c r="K484" i="2"/>
  <c r="H485" i="2"/>
  <c r="J485" i="2"/>
  <c r="K485" i="2"/>
  <c r="H486" i="2"/>
  <c r="J486" i="2"/>
  <c r="K486" i="2"/>
  <c r="H487" i="2"/>
  <c r="J487" i="2"/>
  <c r="K487" i="2"/>
  <c r="H488" i="2"/>
  <c r="J488" i="2"/>
  <c r="K488" i="2"/>
  <c r="H489" i="2"/>
  <c r="J489" i="2"/>
  <c r="K489" i="2"/>
  <c r="H490" i="2"/>
  <c r="J490" i="2"/>
  <c r="K490" i="2"/>
  <c r="H491" i="2"/>
  <c r="J491" i="2"/>
  <c r="K491" i="2"/>
  <c r="H492" i="2"/>
  <c r="J492" i="2"/>
  <c r="K492" i="2"/>
  <c r="H493" i="2"/>
  <c r="J493" i="2"/>
  <c r="K493" i="2"/>
  <c r="H494" i="2"/>
  <c r="J494" i="2"/>
  <c r="K494" i="2"/>
  <c r="H495" i="2"/>
  <c r="J495" i="2"/>
  <c r="K495" i="2"/>
  <c r="H496" i="2"/>
  <c r="J496" i="2"/>
  <c r="K496" i="2"/>
  <c r="H497" i="2"/>
  <c r="J497" i="2"/>
  <c r="K497" i="2"/>
  <c r="H498" i="2"/>
  <c r="J498" i="2"/>
  <c r="K498" i="2"/>
  <c r="H499" i="2"/>
  <c r="J499" i="2"/>
  <c r="K499" i="2"/>
  <c r="H500" i="2"/>
  <c r="J500" i="2"/>
  <c r="K500" i="2"/>
  <c r="H501" i="2"/>
  <c r="J501" i="2"/>
  <c r="K501" i="2"/>
  <c r="H502" i="2"/>
  <c r="J502" i="2"/>
  <c r="K502" i="2"/>
  <c r="H503" i="2"/>
  <c r="J503" i="2"/>
  <c r="K503" i="2"/>
  <c r="H504" i="2"/>
  <c r="J504" i="2"/>
  <c r="K504" i="2"/>
  <c r="H505" i="2"/>
  <c r="J505" i="2"/>
  <c r="K505" i="2"/>
  <c r="H506" i="2"/>
  <c r="J506" i="2"/>
  <c r="K506" i="2"/>
  <c r="H507" i="2"/>
  <c r="J507" i="2"/>
  <c r="K507" i="2"/>
  <c r="H508" i="2"/>
  <c r="J508" i="2"/>
  <c r="K508" i="2"/>
  <c r="H509" i="2"/>
  <c r="J509" i="2"/>
  <c r="K509" i="2"/>
  <c r="H510" i="2"/>
  <c r="J510" i="2"/>
  <c r="K510" i="2"/>
  <c r="H511" i="2"/>
  <c r="J511" i="2"/>
  <c r="K511" i="2"/>
  <c r="H512" i="2"/>
  <c r="J512" i="2"/>
  <c r="K512" i="2"/>
  <c r="H513" i="2"/>
  <c r="J513" i="2"/>
  <c r="K513" i="2"/>
  <c r="H514" i="2"/>
  <c r="J514" i="2"/>
  <c r="K514" i="2"/>
  <c r="H515" i="2"/>
  <c r="J515" i="2"/>
  <c r="K515" i="2"/>
  <c r="H516" i="2"/>
  <c r="J516" i="2"/>
  <c r="K516" i="2"/>
  <c r="H517" i="2"/>
  <c r="J517" i="2"/>
  <c r="K517" i="2"/>
  <c r="H518" i="2"/>
  <c r="J518" i="2"/>
  <c r="K518" i="2"/>
  <c r="H519" i="2"/>
  <c r="J519" i="2"/>
  <c r="K519" i="2"/>
  <c r="H520" i="2"/>
  <c r="J520" i="2"/>
  <c r="K520" i="2"/>
  <c r="H521" i="2"/>
  <c r="J521" i="2"/>
  <c r="K521" i="2"/>
  <c r="H522" i="2"/>
  <c r="J522" i="2"/>
  <c r="K522" i="2"/>
  <c r="H523" i="2"/>
  <c r="J523" i="2"/>
  <c r="K523" i="2"/>
  <c r="H524" i="2"/>
  <c r="J524" i="2"/>
  <c r="K524" i="2"/>
  <c r="H525" i="2"/>
  <c r="J525" i="2"/>
  <c r="K525" i="2"/>
  <c r="H526" i="2"/>
  <c r="J526" i="2"/>
  <c r="K526" i="2"/>
  <c r="H527" i="2"/>
  <c r="J527" i="2"/>
  <c r="K527" i="2"/>
  <c r="H528" i="2"/>
  <c r="J528" i="2"/>
  <c r="K528" i="2"/>
  <c r="H529" i="2"/>
  <c r="J529" i="2"/>
  <c r="K529" i="2"/>
  <c r="H530" i="2"/>
  <c r="J530" i="2"/>
  <c r="K530" i="2"/>
  <c r="H531" i="2"/>
  <c r="J531" i="2"/>
  <c r="K531" i="2"/>
  <c r="H532" i="2"/>
  <c r="J532" i="2"/>
  <c r="K532" i="2"/>
  <c r="H533" i="2"/>
  <c r="J533" i="2"/>
  <c r="K533" i="2"/>
  <c r="H534" i="2"/>
  <c r="J534" i="2"/>
  <c r="K534" i="2"/>
  <c r="H535" i="2"/>
  <c r="J535" i="2"/>
  <c r="K535" i="2"/>
  <c r="H536" i="2"/>
  <c r="J536" i="2"/>
  <c r="K536" i="2"/>
  <c r="H537" i="2"/>
  <c r="J537" i="2"/>
  <c r="K537" i="2"/>
  <c r="H538" i="2"/>
  <c r="J538" i="2"/>
  <c r="K538" i="2"/>
  <c r="H539" i="2"/>
  <c r="J539" i="2"/>
  <c r="K539" i="2"/>
  <c r="H540" i="2"/>
  <c r="J540" i="2"/>
  <c r="K540" i="2"/>
  <c r="H541" i="2"/>
  <c r="J541" i="2"/>
  <c r="K541" i="2"/>
  <c r="H542" i="2"/>
  <c r="J542" i="2"/>
  <c r="K542" i="2"/>
  <c r="H543" i="2"/>
  <c r="J543" i="2"/>
  <c r="K543" i="2"/>
  <c r="H544" i="2"/>
  <c r="J544" i="2"/>
  <c r="K544" i="2"/>
  <c r="H545" i="2"/>
  <c r="J545" i="2"/>
  <c r="K545" i="2"/>
  <c r="H546" i="2"/>
  <c r="J546" i="2"/>
  <c r="K546" i="2"/>
  <c r="H547" i="2"/>
  <c r="J547" i="2"/>
  <c r="K547" i="2"/>
  <c r="H548" i="2"/>
  <c r="J548" i="2"/>
  <c r="K548" i="2"/>
  <c r="H549" i="2"/>
  <c r="J549" i="2"/>
  <c r="K549" i="2"/>
  <c r="H550" i="2"/>
  <c r="J550" i="2"/>
  <c r="K550" i="2"/>
  <c r="H551" i="2"/>
  <c r="J551" i="2"/>
  <c r="K551" i="2"/>
  <c r="H552" i="2"/>
  <c r="J552" i="2"/>
  <c r="K552" i="2"/>
  <c r="H553" i="2"/>
  <c r="J553" i="2"/>
  <c r="K553" i="2"/>
  <c r="H554" i="2"/>
  <c r="J554" i="2"/>
  <c r="K554" i="2"/>
  <c r="H555" i="2"/>
  <c r="J555" i="2"/>
  <c r="K555" i="2"/>
  <c r="H556" i="2"/>
  <c r="J556" i="2"/>
  <c r="K556" i="2"/>
  <c r="H557" i="2"/>
  <c r="J557" i="2"/>
  <c r="K557" i="2"/>
  <c r="H558" i="2"/>
  <c r="J558" i="2"/>
  <c r="K558" i="2"/>
  <c r="H559" i="2"/>
  <c r="J559" i="2"/>
  <c r="K559" i="2"/>
  <c r="H560" i="2"/>
  <c r="J560" i="2"/>
  <c r="K560" i="2"/>
  <c r="H561" i="2"/>
  <c r="J561" i="2"/>
  <c r="K561" i="2"/>
  <c r="H562" i="2"/>
  <c r="J562" i="2"/>
  <c r="K562" i="2"/>
  <c r="H563" i="2"/>
  <c r="J563" i="2"/>
  <c r="K563" i="2"/>
  <c r="H564" i="2"/>
  <c r="J564" i="2"/>
  <c r="K564" i="2"/>
  <c r="H565" i="2"/>
  <c r="J565" i="2"/>
  <c r="K565" i="2"/>
  <c r="H566" i="2"/>
  <c r="J566" i="2"/>
  <c r="K566" i="2"/>
  <c r="H567" i="2"/>
  <c r="J567" i="2"/>
  <c r="K567" i="2"/>
  <c r="H568" i="2"/>
  <c r="J568" i="2"/>
  <c r="K568" i="2"/>
  <c r="H569" i="2"/>
  <c r="J569" i="2"/>
  <c r="K569" i="2"/>
  <c r="H570" i="2"/>
  <c r="J570" i="2"/>
  <c r="K570" i="2"/>
  <c r="H571" i="2"/>
  <c r="J571" i="2"/>
  <c r="K571" i="2"/>
  <c r="H572" i="2"/>
  <c r="J572" i="2"/>
  <c r="K572" i="2"/>
  <c r="H573" i="2"/>
  <c r="J573" i="2"/>
  <c r="K573" i="2"/>
  <c r="H574" i="2"/>
  <c r="J574" i="2"/>
  <c r="K574" i="2"/>
  <c r="H575" i="2"/>
  <c r="J575" i="2"/>
  <c r="K575" i="2"/>
  <c r="H576" i="2"/>
  <c r="J576" i="2"/>
  <c r="K576" i="2"/>
  <c r="H577" i="2"/>
  <c r="J577" i="2"/>
  <c r="K577" i="2"/>
  <c r="H578" i="2"/>
  <c r="J578" i="2"/>
  <c r="K578" i="2"/>
  <c r="H579" i="2"/>
  <c r="J579" i="2"/>
  <c r="K579" i="2"/>
  <c r="H580" i="2"/>
  <c r="J580" i="2"/>
  <c r="K580" i="2"/>
  <c r="H581" i="2"/>
  <c r="J581" i="2"/>
  <c r="K581" i="2"/>
  <c r="H582" i="2"/>
  <c r="J582" i="2"/>
  <c r="K582" i="2"/>
  <c r="H583" i="2"/>
  <c r="J583" i="2"/>
  <c r="K583" i="2"/>
  <c r="H584" i="2"/>
  <c r="J584" i="2"/>
  <c r="K584" i="2"/>
  <c r="H585" i="2"/>
  <c r="J585" i="2"/>
  <c r="K585" i="2"/>
  <c r="H586" i="2"/>
  <c r="J586" i="2"/>
  <c r="K586" i="2"/>
  <c r="H587" i="2"/>
  <c r="J587" i="2"/>
  <c r="K587" i="2"/>
  <c r="H588" i="2"/>
  <c r="J588" i="2"/>
  <c r="K588" i="2"/>
  <c r="H589" i="2"/>
  <c r="J589" i="2"/>
  <c r="K589" i="2"/>
  <c r="H590" i="2"/>
  <c r="J590" i="2"/>
  <c r="K590" i="2"/>
  <c r="H591" i="2"/>
  <c r="J591" i="2"/>
  <c r="K591" i="2"/>
  <c r="H592" i="2"/>
  <c r="J592" i="2"/>
  <c r="K592" i="2"/>
  <c r="H593" i="2"/>
  <c r="J593" i="2"/>
  <c r="K593" i="2"/>
  <c r="H594" i="2"/>
  <c r="J594" i="2"/>
  <c r="K594" i="2"/>
  <c r="H595" i="2"/>
  <c r="J595" i="2"/>
  <c r="K595" i="2"/>
  <c r="H596" i="2"/>
  <c r="J596" i="2"/>
  <c r="K596" i="2"/>
  <c r="H597" i="2"/>
  <c r="J597" i="2"/>
  <c r="K597" i="2"/>
  <c r="H598" i="2"/>
  <c r="J598" i="2"/>
  <c r="K598" i="2"/>
  <c r="H599" i="2"/>
  <c r="J599" i="2"/>
  <c r="K599" i="2"/>
  <c r="H600" i="2"/>
  <c r="J600" i="2"/>
  <c r="K600" i="2"/>
  <c r="H601" i="2"/>
  <c r="J601" i="2"/>
  <c r="K601" i="2"/>
  <c r="H602" i="2"/>
  <c r="J602" i="2"/>
  <c r="K602" i="2"/>
  <c r="H603" i="2"/>
  <c r="J603" i="2"/>
  <c r="K603" i="2"/>
  <c r="H604" i="2"/>
  <c r="J604" i="2"/>
  <c r="K604" i="2"/>
  <c r="H605" i="2"/>
  <c r="J605" i="2"/>
  <c r="K605" i="2"/>
  <c r="H606" i="2"/>
  <c r="J606" i="2"/>
  <c r="K606" i="2"/>
  <c r="H607" i="2"/>
  <c r="J607" i="2"/>
  <c r="K607" i="2"/>
  <c r="H608" i="2"/>
  <c r="J608" i="2"/>
  <c r="K608" i="2"/>
  <c r="H609" i="2"/>
  <c r="J609" i="2"/>
  <c r="K609" i="2"/>
  <c r="H610" i="2"/>
  <c r="J610" i="2"/>
  <c r="K610" i="2"/>
  <c r="H611" i="2"/>
  <c r="J611" i="2"/>
  <c r="K611" i="2"/>
  <c r="H612" i="2"/>
  <c r="J612" i="2"/>
  <c r="K612" i="2"/>
  <c r="H613" i="2"/>
  <c r="J613" i="2"/>
  <c r="K613" i="2"/>
  <c r="H614" i="2"/>
  <c r="J614" i="2"/>
  <c r="K614" i="2"/>
  <c r="H615" i="2"/>
  <c r="J615" i="2"/>
  <c r="K615" i="2"/>
  <c r="H616" i="2"/>
  <c r="J616" i="2"/>
  <c r="K616" i="2"/>
  <c r="H617" i="2"/>
  <c r="J617" i="2"/>
  <c r="K617" i="2"/>
  <c r="H618" i="2"/>
  <c r="J618" i="2"/>
  <c r="K618" i="2"/>
  <c r="H619" i="2"/>
  <c r="J619" i="2"/>
  <c r="K619" i="2"/>
  <c r="H620" i="2"/>
  <c r="J620" i="2"/>
  <c r="K620" i="2"/>
  <c r="H621" i="2"/>
  <c r="J621" i="2"/>
  <c r="K621" i="2"/>
  <c r="H622" i="2"/>
  <c r="J622" i="2"/>
  <c r="K622" i="2"/>
  <c r="H623" i="2"/>
  <c r="J623" i="2"/>
  <c r="K623" i="2"/>
  <c r="H624" i="2"/>
  <c r="J624" i="2"/>
  <c r="K624" i="2"/>
  <c r="H625" i="2"/>
  <c r="J625" i="2"/>
  <c r="K625" i="2"/>
  <c r="H626" i="2"/>
  <c r="J626" i="2"/>
  <c r="K626" i="2"/>
  <c r="H627" i="2"/>
  <c r="J627" i="2"/>
  <c r="K627" i="2"/>
  <c r="H628" i="2"/>
  <c r="J628" i="2"/>
  <c r="K628" i="2"/>
  <c r="H629" i="2"/>
  <c r="J629" i="2"/>
  <c r="K629" i="2"/>
  <c r="H630" i="2"/>
  <c r="J630" i="2"/>
  <c r="K630" i="2"/>
  <c r="H631" i="2"/>
  <c r="J631" i="2"/>
  <c r="K631" i="2"/>
  <c r="H632" i="2"/>
  <c r="J632" i="2"/>
  <c r="K632" i="2"/>
  <c r="H633" i="2"/>
  <c r="J633" i="2"/>
  <c r="K633" i="2"/>
  <c r="H634" i="2"/>
  <c r="J634" i="2"/>
  <c r="K634" i="2"/>
  <c r="H635" i="2"/>
  <c r="J635" i="2"/>
  <c r="K635" i="2"/>
  <c r="H636" i="2"/>
  <c r="J636" i="2"/>
  <c r="K636" i="2"/>
  <c r="H637" i="2"/>
  <c r="J637" i="2"/>
  <c r="K637" i="2"/>
  <c r="H638" i="2"/>
  <c r="J638" i="2"/>
  <c r="K638" i="2"/>
  <c r="H639" i="2"/>
  <c r="J639" i="2"/>
  <c r="K639" i="2"/>
  <c r="H640" i="2"/>
  <c r="J640" i="2"/>
  <c r="K640" i="2"/>
  <c r="H641" i="2"/>
  <c r="J641" i="2"/>
  <c r="K641" i="2"/>
  <c r="H642" i="2"/>
  <c r="J642" i="2"/>
  <c r="K642" i="2"/>
  <c r="H643" i="2"/>
  <c r="J643" i="2"/>
  <c r="K643" i="2"/>
  <c r="H644" i="2"/>
  <c r="J644" i="2"/>
  <c r="K644" i="2"/>
  <c r="H645" i="2"/>
  <c r="J645" i="2"/>
  <c r="K645" i="2"/>
  <c r="H646" i="2"/>
  <c r="J646" i="2"/>
  <c r="K646" i="2"/>
  <c r="H647" i="2"/>
  <c r="J647" i="2"/>
  <c r="K647" i="2"/>
  <c r="H648" i="2"/>
  <c r="J648" i="2"/>
  <c r="K648" i="2"/>
  <c r="H649" i="2"/>
  <c r="J649" i="2"/>
  <c r="K649" i="2"/>
  <c r="H650" i="2"/>
  <c r="J650" i="2"/>
  <c r="K650" i="2"/>
  <c r="H651" i="2"/>
  <c r="J651" i="2"/>
  <c r="K651" i="2"/>
  <c r="H652" i="2"/>
  <c r="J652" i="2"/>
  <c r="K652" i="2"/>
  <c r="H653" i="2"/>
  <c r="J653" i="2"/>
  <c r="K653" i="2"/>
  <c r="H654" i="2"/>
  <c r="J654" i="2"/>
  <c r="K654" i="2"/>
  <c r="H655" i="2"/>
  <c r="J655" i="2"/>
  <c r="K655" i="2"/>
  <c r="H656" i="2"/>
  <c r="J656" i="2"/>
  <c r="K656" i="2"/>
  <c r="H657" i="2"/>
  <c r="J657" i="2"/>
  <c r="K657" i="2"/>
  <c r="H658" i="2"/>
  <c r="J658" i="2"/>
  <c r="K658" i="2"/>
  <c r="H659" i="2"/>
  <c r="J659" i="2"/>
  <c r="K659" i="2"/>
  <c r="H660" i="2"/>
  <c r="J660" i="2"/>
  <c r="K660" i="2"/>
  <c r="H661" i="2"/>
  <c r="J661" i="2"/>
  <c r="K661" i="2"/>
  <c r="H662" i="2"/>
  <c r="J662" i="2"/>
  <c r="K662" i="2"/>
  <c r="H663" i="2"/>
  <c r="J663" i="2"/>
  <c r="K663" i="2"/>
  <c r="H664" i="2"/>
  <c r="J664" i="2"/>
  <c r="K664" i="2"/>
  <c r="H665" i="2"/>
  <c r="J665" i="2"/>
  <c r="K665" i="2"/>
  <c r="H666" i="2"/>
  <c r="J666" i="2"/>
  <c r="K666" i="2"/>
  <c r="H667" i="2"/>
  <c r="J667" i="2"/>
  <c r="K667" i="2"/>
  <c r="H668" i="2"/>
  <c r="J668" i="2"/>
  <c r="K668" i="2"/>
  <c r="H669" i="2"/>
  <c r="J669" i="2"/>
  <c r="K669" i="2"/>
  <c r="H670" i="2"/>
  <c r="J670" i="2"/>
  <c r="K670" i="2"/>
  <c r="H671" i="2"/>
  <c r="J671" i="2"/>
  <c r="K671" i="2"/>
  <c r="H672" i="2"/>
  <c r="J672" i="2"/>
  <c r="K672" i="2"/>
  <c r="H673" i="2"/>
  <c r="J673" i="2"/>
  <c r="K673" i="2"/>
  <c r="H674" i="2"/>
  <c r="J674" i="2"/>
  <c r="K674" i="2"/>
  <c r="H675" i="2"/>
  <c r="J675" i="2"/>
  <c r="K675" i="2"/>
  <c r="H676" i="2"/>
  <c r="J676" i="2"/>
  <c r="K676" i="2"/>
  <c r="H677" i="2"/>
  <c r="J677" i="2"/>
  <c r="K677" i="2"/>
  <c r="H678" i="2"/>
  <c r="J678" i="2"/>
  <c r="K678" i="2"/>
  <c r="H679" i="2"/>
  <c r="J679" i="2"/>
  <c r="K679" i="2"/>
  <c r="H680" i="2"/>
  <c r="J680" i="2"/>
  <c r="K680" i="2"/>
  <c r="H681" i="2"/>
  <c r="J681" i="2"/>
  <c r="K681" i="2"/>
  <c r="H682" i="2"/>
  <c r="J682" i="2"/>
  <c r="K682" i="2"/>
  <c r="H683" i="2"/>
  <c r="J683" i="2"/>
  <c r="K683" i="2"/>
  <c r="H684" i="2"/>
  <c r="J684" i="2"/>
  <c r="K684" i="2"/>
  <c r="H685" i="2"/>
  <c r="J685" i="2"/>
  <c r="K685" i="2"/>
  <c r="H686" i="2"/>
  <c r="J686" i="2"/>
  <c r="K686" i="2"/>
  <c r="H687" i="2"/>
  <c r="J687" i="2"/>
  <c r="K687" i="2"/>
  <c r="H688" i="2"/>
  <c r="J688" i="2"/>
  <c r="K688" i="2"/>
  <c r="H689" i="2"/>
  <c r="J689" i="2"/>
  <c r="K689" i="2"/>
  <c r="H690" i="2"/>
  <c r="J690" i="2"/>
  <c r="K690" i="2"/>
  <c r="H691" i="2"/>
  <c r="J691" i="2"/>
  <c r="K691" i="2"/>
  <c r="H692" i="2"/>
  <c r="J692" i="2"/>
  <c r="K692" i="2"/>
  <c r="H693" i="2"/>
  <c r="J693" i="2"/>
  <c r="K693" i="2"/>
  <c r="H694" i="2"/>
  <c r="J694" i="2"/>
  <c r="K694" i="2"/>
  <c r="H695" i="2"/>
  <c r="J695" i="2"/>
  <c r="K695" i="2"/>
  <c r="H696" i="2"/>
  <c r="J696" i="2"/>
  <c r="K696" i="2"/>
  <c r="H697" i="2"/>
  <c r="J697" i="2"/>
  <c r="K697" i="2"/>
  <c r="H698" i="2"/>
  <c r="J698" i="2"/>
  <c r="K698" i="2"/>
  <c r="H699" i="2"/>
  <c r="J699" i="2"/>
  <c r="K699" i="2"/>
  <c r="H700" i="2"/>
  <c r="J700" i="2"/>
  <c r="K700" i="2"/>
  <c r="H701" i="2"/>
  <c r="J701" i="2"/>
  <c r="K701" i="2"/>
  <c r="H702" i="2"/>
  <c r="J702" i="2"/>
  <c r="K702" i="2"/>
  <c r="H703" i="2"/>
  <c r="J703" i="2"/>
  <c r="K703" i="2"/>
  <c r="H704" i="2"/>
  <c r="J704" i="2"/>
  <c r="K704" i="2"/>
  <c r="H705" i="2"/>
  <c r="J705" i="2"/>
  <c r="K705" i="2"/>
  <c r="H706" i="2"/>
  <c r="J706" i="2"/>
  <c r="K706" i="2"/>
  <c r="H707" i="2"/>
  <c r="J707" i="2"/>
  <c r="K707" i="2"/>
  <c r="H708" i="2"/>
  <c r="J708" i="2"/>
  <c r="K708" i="2"/>
  <c r="H709" i="2"/>
  <c r="J709" i="2"/>
  <c r="K709" i="2"/>
  <c r="H710" i="2"/>
  <c r="J710" i="2"/>
  <c r="K710" i="2"/>
  <c r="H711" i="2"/>
  <c r="J711" i="2"/>
  <c r="K711" i="2"/>
  <c r="H712" i="2"/>
  <c r="J712" i="2"/>
  <c r="K712" i="2"/>
  <c r="H713" i="2"/>
  <c r="J713" i="2"/>
  <c r="K713" i="2"/>
  <c r="H714" i="2"/>
  <c r="J714" i="2"/>
  <c r="K714" i="2"/>
  <c r="H715" i="2"/>
  <c r="J715" i="2"/>
  <c r="K715" i="2"/>
  <c r="H716" i="2"/>
  <c r="J716" i="2"/>
  <c r="K716" i="2"/>
  <c r="H717" i="2"/>
  <c r="J717" i="2"/>
  <c r="K717" i="2"/>
  <c r="H718" i="2"/>
  <c r="J718" i="2"/>
  <c r="K718" i="2"/>
  <c r="H719" i="2"/>
  <c r="J719" i="2"/>
  <c r="K719" i="2"/>
  <c r="H720" i="2"/>
  <c r="J720" i="2"/>
  <c r="K720" i="2"/>
  <c r="H721" i="2"/>
  <c r="J721" i="2"/>
  <c r="K721" i="2"/>
  <c r="H722" i="2"/>
  <c r="J722" i="2"/>
  <c r="K722" i="2"/>
  <c r="H723" i="2"/>
  <c r="J723" i="2"/>
  <c r="K723" i="2"/>
  <c r="H724" i="2"/>
  <c r="J724" i="2"/>
  <c r="K724" i="2"/>
  <c r="H725" i="2"/>
  <c r="J725" i="2"/>
  <c r="K725" i="2"/>
  <c r="H726" i="2"/>
  <c r="J726" i="2"/>
  <c r="K726" i="2"/>
  <c r="H727" i="2"/>
  <c r="J727" i="2"/>
  <c r="K727" i="2"/>
  <c r="H431" i="6"/>
  <c r="J431" i="6"/>
  <c r="K431" i="6"/>
  <c r="H432" i="6"/>
  <c r="J432" i="6"/>
  <c r="K432" i="6"/>
  <c r="H433" i="6"/>
  <c r="J433" i="6"/>
  <c r="K433" i="6"/>
  <c r="H434" i="6"/>
  <c r="J434" i="6"/>
  <c r="K434" i="6"/>
  <c r="H435" i="6"/>
  <c r="J435" i="6"/>
  <c r="K435" i="6"/>
  <c r="H436" i="6"/>
  <c r="J436" i="6"/>
  <c r="K436" i="6"/>
  <c r="H437" i="6"/>
  <c r="J437" i="6"/>
  <c r="K437" i="6"/>
  <c r="H438" i="6"/>
  <c r="J438" i="6"/>
  <c r="K438" i="6"/>
  <c r="H439" i="6"/>
  <c r="J439" i="6"/>
  <c r="K439" i="6"/>
  <c r="H440" i="6"/>
  <c r="J440" i="6"/>
  <c r="K440" i="6"/>
  <c r="H441" i="6"/>
  <c r="J441" i="6"/>
  <c r="K441" i="6"/>
  <c r="H442" i="6"/>
  <c r="J442" i="6"/>
  <c r="K442" i="6"/>
  <c r="H443" i="6"/>
  <c r="J443" i="6"/>
  <c r="K443" i="6"/>
  <c r="H444" i="6"/>
  <c r="J444" i="6"/>
  <c r="K444" i="6"/>
  <c r="H445" i="6"/>
  <c r="J445" i="6"/>
  <c r="K445" i="6"/>
  <c r="H446" i="6"/>
  <c r="J446" i="6"/>
  <c r="K446" i="6"/>
  <c r="H447" i="6"/>
  <c r="J447" i="6"/>
  <c r="K447" i="6"/>
  <c r="H448" i="6"/>
  <c r="J448" i="6"/>
  <c r="K448" i="6"/>
  <c r="H449" i="6"/>
  <c r="J449" i="6"/>
  <c r="K449" i="6"/>
  <c r="H450" i="6"/>
  <c r="J450" i="6"/>
  <c r="K450" i="6"/>
  <c r="H451" i="6"/>
  <c r="J451" i="6"/>
  <c r="K451" i="6"/>
  <c r="H452" i="6"/>
  <c r="J452" i="6"/>
  <c r="K452" i="6"/>
  <c r="H453" i="6"/>
  <c r="J453" i="6"/>
  <c r="K453" i="6"/>
  <c r="H454" i="6"/>
  <c r="J454" i="6"/>
  <c r="K454" i="6"/>
  <c r="H455" i="6"/>
  <c r="J455" i="6"/>
  <c r="K455" i="6"/>
  <c r="H456" i="6"/>
  <c r="J456" i="6"/>
  <c r="K456" i="6"/>
  <c r="H457" i="6"/>
  <c r="J457" i="6"/>
  <c r="K457" i="6"/>
  <c r="H458" i="6"/>
  <c r="J458" i="6"/>
  <c r="K458" i="6"/>
  <c r="H459" i="6"/>
  <c r="J459" i="6"/>
  <c r="K459" i="6"/>
  <c r="H460" i="6"/>
  <c r="J460" i="6"/>
  <c r="K460" i="6"/>
  <c r="H461" i="6"/>
  <c r="J461" i="6"/>
  <c r="K461" i="6"/>
  <c r="H462" i="6"/>
  <c r="J462" i="6"/>
  <c r="K462" i="6"/>
  <c r="H463" i="6"/>
  <c r="J463" i="6"/>
  <c r="K463" i="6"/>
  <c r="H464" i="6"/>
  <c r="J464" i="6"/>
  <c r="K464" i="6"/>
  <c r="H465" i="6"/>
  <c r="J465" i="6"/>
  <c r="K465" i="6"/>
  <c r="H466" i="6"/>
  <c r="J466" i="6"/>
  <c r="K466" i="6"/>
  <c r="H467" i="6"/>
  <c r="J467" i="6"/>
  <c r="K467" i="6"/>
  <c r="H468" i="6"/>
  <c r="J468" i="6"/>
  <c r="K468" i="6"/>
  <c r="H469" i="6"/>
  <c r="J469" i="6"/>
  <c r="K469" i="6"/>
  <c r="H470" i="6"/>
  <c r="J470" i="6"/>
  <c r="K470" i="6"/>
  <c r="H471" i="6"/>
  <c r="J471" i="6"/>
  <c r="K471" i="6"/>
  <c r="H472" i="6"/>
  <c r="J472" i="6"/>
  <c r="K472" i="6"/>
  <c r="H473" i="6"/>
  <c r="J473" i="6"/>
  <c r="K473" i="6"/>
  <c r="H474" i="6"/>
  <c r="J474" i="6"/>
  <c r="K474" i="6"/>
  <c r="H475" i="6"/>
  <c r="J475" i="6"/>
  <c r="K475" i="6"/>
  <c r="H476" i="6"/>
  <c r="J476" i="6"/>
  <c r="K476" i="6"/>
  <c r="H477" i="6"/>
  <c r="J477" i="6"/>
  <c r="K477" i="6"/>
  <c r="H478" i="6"/>
  <c r="J478" i="6"/>
  <c r="K478" i="6"/>
  <c r="H479" i="6"/>
  <c r="J479" i="6"/>
  <c r="K479" i="6"/>
  <c r="H480" i="6"/>
  <c r="J480" i="6"/>
  <c r="K480" i="6"/>
  <c r="H481" i="6"/>
  <c r="J481" i="6"/>
  <c r="K481" i="6"/>
  <c r="H482" i="6"/>
  <c r="J482" i="6"/>
  <c r="K482" i="6"/>
  <c r="H483" i="6"/>
  <c r="J483" i="6"/>
  <c r="K483" i="6"/>
  <c r="H484" i="6"/>
  <c r="J484" i="6"/>
  <c r="K484" i="6"/>
  <c r="H485" i="6"/>
  <c r="J485" i="6"/>
  <c r="K485" i="6"/>
  <c r="H486" i="6"/>
  <c r="J486" i="6"/>
  <c r="K486" i="6"/>
  <c r="H487" i="6"/>
  <c r="J487" i="6"/>
  <c r="K487" i="6"/>
  <c r="H488" i="6"/>
  <c r="J488" i="6"/>
  <c r="K488" i="6"/>
  <c r="H489" i="6"/>
  <c r="J489" i="6"/>
  <c r="K489" i="6"/>
  <c r="H490" i="6"/>
  <c r="J490" i="6"/>
  <c r="K490" i="6"/>
  <c r="H491" i="6"/>
  <c r="J491" i="6"/>
  <c r="K491" i="6"/>
  <c r="H492" i="6"/>
  <c r="J492" i="6"/>
  <c r="K492" i="6"/>
  <c r="H493" i="6"/>
  <c r="J493" i="6"/>
  <c r="K493" i="6"/>
  <c r="H494" i="6"/>
  <c r="J494" i="6"/>
  <c r="K494" i="6"/>
  <c r="H495" i="6"/>
  <c r="J495" i="6"/>
  <c r="K495" i="6"/>
  <c r="H496" i="6"/>
  <c r="J496" i="6"/>
  <c r="K496" i="6"/>
  <c r="H497" i="6"/>
  <c r="J497" i="6"/>
  <c r="K497" i="6"/>
  <c r="H498" i="6"/>
  <c r="J498" i="6"/>
  <c r="K498" i="6"/>
  <c r="H499" i="6"/>
  <c r="J499" i="6"/>
  <c r="K499" i="6"/>
  <c r="H500" i="6"/>
  <c r="J500" i="6"/>
  <c r="K500" i="6"/>
  <c r="H501" i="6"/>
  <c r="J501" i="6"/>
  <c r="K501" i="6"/>
  <c r="H502" i="6"/>
  <c r="J502" i="6"/>
  <c r="K502" i="6"/>
  <c r="H503" i="6"/>
  <c r="J503" i="6"/>
  <c r="K503" i="6"/>
  <c r="H504" i="6"/>
  <c r="J504" i="6"/>
  <c r="K504" i="6"/>
  <c r="H505" i="6"/>
  <c r="J505" i="6"/>
  <c r="K505" i="6"/>
  <c r="H506" i="6"/>
  <c r="J506" i="6"/>
  <c r="K506" i="6"/>
  <c r="H507" i="6"/>
  <c r="J507" i="6"/>
  <c r="K507" i="6"/>
  <c r="H508" i="6"/>
  <c r="J508" i="6"/>
  <c r="K508" i="6"/>
  <c r="H509" i="6"/>
  <c r="J509" i="6"/>
  <c r="K509" i="6"/>
  <c r="H510" i="6"/>
  <c r="J510" i="6"/>
  <c r="K510" i="6"/>
  <c r="H511" i="6"/>
  <c r="J511" i="6"/>
  <c r="K511" i="6"/>
  <c r="H512" i="6"/>
  <c r="J512" i="6"/>
  <c r="K512" i="6"/>
  <c r="H513" i="6"/>
  <c r="J513" i="6"/>
  <c r="K513" i="6"/>
  <c r="H514" i="6"/>
  <c r="J514" i="6"/>
  <c r="K514" i="6"/>
  <c r="H515" i="6"/>
  <c r="J515" i="6"/>
  <c r="K515" i="6"/>
  <c r="H516" i="6"/>
  <c r="J516" i="6"/>
  <c r="K516" i="6"/>
  <c r="H517" i="6"/>
  <c r="J517" i="6"/>
  <c r="K517" i="6"/>
  <c r="H518" i="6"/>
  <c r="J518" i="6"/>
  <c r="K518" i="6"/>
  <c r="H519" i="6"/>
  <c r="J519" i="6"/>
  <c r="K519" i="6"/>
  <c r="H520" i="6"/>
  <c r="J520" i="6"/>
  <c r="K520" i="6"/>
  <c r="H521" i="6"/>
  <c r="J521" i="6"/>
  <c r="K521" i="6"/>
  <c r="H522" i="6"/>
  <c r="J522" i="6"/>
  <c r="K522" i="6"/>
  <c r="H523" i="6"/>
  <c r="J523" i="6"/>
  <c r="K523" i="6"/>
  <c r="H524" i="6"/>
  <c r="J524" i="6"/>
  <c r="K524" i="6"/>
  <c r="H525" i="6"/>
  <c r="J525" i="6"/>
  <c r="K525" i="6"/>
  <c r="H526" i="6"/>
  <c r="J526" i="6"/>
  <c r="K526" i="6"/>
  <c r="H527" i="6"/>
  <c r="J527" i="6"/>
  <c r="K527" i="6"/>
  <c r="H528" i="6"/>
  <c r="J528" i="6"/>
  <c r="K528" i="6"/>
  <c r="H529" i="6"/>
  <c r="J529" i="6"/>
  <c r="K529" i="6"/>
  <c r="H530" i="6"/>
  <c r="J530" i="6"/>
  <c r="K530" i="6"/>
  <c r="H531" i="6"/>
  <c r="J531" i="6"/>
  <c r="K531" i="6"/>
  <c r="H532" i="6"/>
  <c r="J532" i="6"/>
  <c r="K532" i="6"/>
  <c r="H533" i="6"/>
  <c r="J533" i="6"/>
  <c r="K533" i="6"/>
  <c r="H534" i="6"/>
  <c r="J534" i="6"/>
  <c r="K534" i="6"/>
  <c r="H535" i="6"/>
  <c r="J535" i="6"/>
  <c r="K535" i="6"/>
  <c r="H536" i="6"/>
  <c r="J536" i="6"/>
  <c r="K536" i="6"/>
  <c r="H537" i="6"/>
  <c r="J537" i="6"/>
  <c r="K537" i="6"/>
  <c r="H538" i="6"/>
  <c r="J538" i="6"/>
  <c r="K538" i="6"/>
  <c r="H539" i="6"/>
  <c r="J539" i="6"/>
  <c r="K539" i="6"/>
  <c r="H540" i="6"/>
  <c r="J540" i="6"/>
  <c r="K540" i="6"/>
  <c r="H541" i="6"/>
  <c r="J541" i="6"/>
  <c r="K541" i="6"/>
  <c r="H542" i="6"/>
  <c r="J542" i="6"/>
  <c r="K542" i="6"/>
  <c r="H543" i="6"/>
  <c r="J543" i="6"/>
  <c r="K543" i="6"/>
  <c r="H544" i="6"/>
  <c r="J544" i="6"/>
  <c r="K544" i="6"/>
  <c r="H545" i="6"/>
  <c r="J545" i="6"/>
  <c r="K545" i="6"/>
  <c r="H546" i="6"/>
  <c r="J546" i="6"/>
  <c r="K546" i="6"/>
  <c r="H547" i="6"/>
  <c r="J547" i="6"/>
  <c r="K547" i="6"/>
  <c r="H548" i="6"/>
  <c r="J548" i="6"/>
  <c r="K548" i="6"/>
  <c r="H549" i="6"/>
  <c r="J549" i="6"/>
  <c r="K549" i="6"/>
  <c r="H550" i="6"/>
  <c r="J550" i="6"/>
  <c r="K550" i="6"/>
  <c r="H551" i="6"/>
  <c r="J551" i="6"/>
  <c r="K551" i="6"/>
  <c r="H552" i="6"/>
  <c r="J552" i="6"/>
  <c r="K552" i="6"/>
  <c r="H553" i="6"/>
  <c r="J553" i="6"/>
  <c r="K553" i="6"/>
  <c r="H554" i="6"/>
  <c r="J554" i="6"/>
  <c r="K554" i="6"/>
  <c r="H555" i="6"/>
  <c r="J555" i="6"/>
  <c r="K555" i="6"/>
  <c r="H556" i="6"/>
  <c r="J556" i="6"/>
  <c r="K556" i="6"/>
  <c r="H557" i="6"/>
  <c r="J557" i="6"/>
  <c r="K557" i="6"/>
  <c r="H558" i="6"/>
  <c r="J558" i="6"/>
  <c r="K558" i="6"/>
  <c r="H559" i="6"/>
  <c r="J559" i="6"/>
  <c r="K559" i="6"/>
  <c r="H560" i="6"/>
  <c r="J560" i="6"/>
  <c r="K560" i="6"/>
  <c r="H561" i="6"/>
  <c r="J561" i="6"/>
  <c r="K561" i="6"/>
  <c r="H562" i="6"/>
  <c r="J562" i="6"/>
  <c r="K562" i="6"/>
  <c r="H563" i="6"/>
  <c r="J563" i="6"/>
  <c r="K563" i="6"/>
  <c r="H564" i="6"/>
  <c r="J564" i="6"/>
  <c r="K564" i="6"/>
  <c r="H565" i="6"/>
  <c r="J565" i="6"/>
  <c r="K565" i="6"/>
  <c r="H566" i="6"/>
  <c r="J566" i="6"/>
  <c r="K566" i="6"/>
  <c r="H567" i="6"/>
  <c r="J567" i="6"/>
  <c r="K567" i="6"/>
  <c r="H568" i="6"/>
  <c r="J568" i="6"/>
  <c r="K568" i="6"/>
  <c r="H569" i="6"/>
  <c r="J569" i="6"/>
  <c r="K569" i="6"/>
  <c r="H570" i="6"/>
  <c r="J570" i="6"/>
  <c r="K570" i="6"/>
  <c r="H571" i="6"/>
  <c r="J571" i="6"/>
  <c r="K571" i="6"/>
  <c r="H572" i="6"/>
  <c r="J572" i="6"/>
  <c r="K572" i="6"/>
  <c r="H573" i="6"/>
  <c r="J573" i="6"/>
  <c r="K573" i="6"/>
  <c r="H574" i="6"/>
  <c r="J574" i="6"/>
  <c r="K574" i="6"/>
  <c r="H575" i="6"/>
  <c r="J575" i="6"/>
  <c r="K575" i="6"/>
  <c r="H576" i="6"/>
  <c r="J576" i="6"/>
  <c r="K576" i="6"/>
  <c r="H577" i="6"/>
  <c r="J577" i="6"/>
  <c r="K577" i="6"/>
  <c r="H578" i="6"/>
  <c r="J578" i="6"/>
  <c r="K578" i="6"/>
  <c r="H579" i="6"/>
  <c r="J579" i="6"/>
  <c r="K579" i="6"/>
  <c r="H580" i="6"/>
  <c r="J580" i="6"/>
  <c r="K580" i="6"/>
  <c r="H581" i="6"/>
  <c r="J581" i="6"/>
  <c r="K581" i="6"/>
  <c r="H582" i="6"/>
  <c r="J582" i="6"/>
  <c r="K582" i="6"/>
  <c r="H583" i="6"/>
  <c r="J583" i="6"/>
  <c r="K583" i="6"/>
  <c r="H584" i="6"/>
  <c r="J584" i="6"/>
  <c r="K584" i="6"/>
  <c r="H585" i="6"/>
  <c r="J585" i="6"/>
  <c r="K585" i="6"/>
  <c r="H586" i="6"/>
  <c r="J586" i="6"/>
  <c r="K586" i="6"/>
  <c r="H587" i="6"/>
  <c r="J587" i="6"/>
  <c r="K587" i="6"/>
  <c r="H588" i="6"/>
  <c r="J588" i="6"/>
  <c r="K588" i="6"/>
  <c r="H589" i="6"/>
  <c r="J589" i="6"/>
  <c r="K589" i="6"/>
  <c r="H590" i="6"/>
  <c r="J590" i="6"/>
  <c r="K590" i="6"/>
  <c r="H591" i="6"/>
  <c r="J591" i="6"/>
  <c r="K591" i="6"/>
  <c r="H592" i="6"/>
  <c r="J592" i="6"/>
  <c r="K592" i="6"/>
  <c r="H593" i="6"/>
  <c r="J593" i="6"/>
  <c r="K593" i="6"/>
  <c r="H594" i="6"/>
  <c r="J594" i="6"/>
  <c r="K594" i="6"/>
  <c r="H595" i="6"/>
  <c r="J595" i="6"/>
  <c r="K595" i="6"/>
  <c r="H596" i="6"/>
  <c r="J596" i="6"/>
  <c r="K596" i="6"/>
  <c r="H597" i="6"/>
  <c r="J597" i="6"/>
  <c r="K597" i="6"/>
  <c r="H598" i="6"/>
  <c r="J598" i="6"/>
  <c r="K598" i="6"/>
  <c r="H599" i="6"/>
  <c r="J599" i="6"/>
  <c r="K599" i="6"/>
  <c r="H600" i="6"/>
  <c r="J600" i="6"/>
  <c r="K600" i="6"/>
  <c r="H601" i="6"/>
  <c r="J601" i="6"/>
  <c r="K601" i="6"/>
  <c r="H602" i="6"/>
  <c r="J602" i="6"/>
  <c r="K602" i="6"/>
  <c r="H603" i="6"/>
  <c r="J603" i="6"/>
  <c r="K603" i="6"/>
  <c r="H604" i="6"/>
  <c r="J604" i="6"/>
  <c r="K604" i="6"/>
  <c r="H605" i="6"/>
  <c r="J605" i="6"/>
  <c r="K605" i="6"/>
  <c r="H606" i="6"/>
  <c r="J606" i="6"/>
  <c r="K606" i="6"/>
  <c r="H607" i="6"/>
  <c r="J607" i="6"/>
  <c r="K607" i="6"/>
  <c r="H608" i="6"/>
  <c r="J608" i="6"/>
  <c r="K608" i="6"/>
  <c r="H609" i="6"/>
  <c r="J609" i="6"/>
  <c r="K609" i="6"/>
  <c r="H610" i="6"/>
  <c r="J610" i="6"/>
  <c r="K610" i="6"/>
  <c r="H611" i="6"/>
  <c r="J611" i="6"/>
  <c r="K611" i="6"/>
  <c r="H612" i="6"/>
  <c r="J612" i="6"/>
  <c r="K612" i="6"/>
  <c r="H613" i="6"/>
  <c r="J613" i="6"/>
  <c r="K613" i="6"/>
  <c r="H614" i="6"/>
  <c r="J614" i="6"/>
  <c r="K614" i="6"/>
  <c r="H615" i="6"/>
  <c r="J615" i="6"/>
  <c r="K615" i="6"/>
  <c r="H616" i="6"/>
  <c r="J616" i="6"/>
  <c r="K616" i="6"/>
  <c r="H617" i="6"/>
  <c r="J617" i="6"/>
  <c r="K617" i="6"/>
  <c r="H618" i="6"/>
  <c r="J618" i="6"/>
  <c r="K618" i="6"/>
  <c r="H619" i="6"/>
  <c r="J619" i="6"/>
  <c r="K619" i="6"/>
  <c r="H620" i="6"/>
  <c r="J620" i="6"/>
  <c r="K620" i="6"/>
  <c r="H621" i="6"/>
  <c r="J621" i="6"/>
  <c r="K621" i="6"/>
  <c r="H622" i="6"/>
  <c r="J622" i="6"/>
  <c r="K622" i="6"/>
  <c r="H623" i="6"/>
  <c r="J623" i="6"/>
  <c r="K623" i="6"/>
  <c r="H624" i="6"/>
  <c r="J624" i="6"/>
  <c r="K624" i="6"/>
  <c r="H625" i="6"/>
  <c r="J625" i="6"/>
  <c r="K625" i="6"/>
  <c r="H626" i="6"/>
  <c r="J626" i="6"/>
  <c r="K626" i="6"/>
  <c r="H627" i="6"/>
  <c r="J627" i="6"/>
  <c r="K627" i="6"/>
  <c r="H628" i="6"/>
  <c r="J628" i="6"/>
  <c r="K628" i="6"/>
  <c r="H629" i="6"/>
  <c r="J629" i="6"/>
  <c r="K629" i="6"/>
  <c r="H630" i="6"/>
  <c r="J630" i="6"/>
  <c r="K630" i="6"/>
  <c r="H631" i="6"/>
  <c r="J631" i="6"/>
  <c r="K631" i="6"/>
  <c r="H632" i="6"/>
  <c r="J632" i="6"/>
  <c r="K632" i="6"/>
  <c r="H633" i="6"/>
  <c r="J633" i="6"/>
  <c r="K633" i="6"/>
  <c r="H634" i="6"/>
  <c r="J634" i="6"/>
  <c r="K634" i="6"/>
  <c r="H635" i="6"/>
  <c r="J635" i="6"/>
  <c r="K635" i="6"/>
  <c r="H636" i="6"/>
  <c r="J636" i="6"/>
  <c r="K636" i="6"/>
  <c r="H637" i="6"/>
  <c r="J637" i="6"/>
  <c r="K637" i="6"/>
  <c r="H638" i="6"/>
  <c r="J638" i="6"/>
  <c r="K638" i="6"/>
  <c r="H639" i="6"/>
  <c r="J639" i="6"/>
  <c r="K639" i="6"/>
  <c r="H640" i="6"/>
  <c r="J640" i="6"/>
  <c r="K640" i="6"/>
  <c r="H641" i="6"/>
  <c r="J641" i="6"/>
  <c r="K641" i="6"/>
  <c r="H642" i="6"/>
  <c r="J642" i="6"/>
  <c r="K642" i="6"/>
  <c r="H643" i="6"/>
  <c r="J643" i="6"/>
  <c r="K643" i="6"/>
  <c r="H644" i="6"/>
  <c r="J644" i="6"/>
  <c r="K644" i="6"/>
  <c r="H645" i="6"/>
  <c r="J645" i="6"/>
  <c r="K645" i="6"/>
  <c r="H646" i="6"/>
  <c r="J646" i="6"/>
  <c r="K646" i="6"/>
  <c r="H647" i="6"/>
  <c r="J647" i="6"/>
  <c r="K647" i="6"/>
  <c r="H648" i="6"/>
  <c r="J648" i="6"/>
  <c r="K648" i="6"/>
  <c r="H649" i="6"/>
  <c r="J649" i="6"/>
  <c r="K649" i="6"/>
  <c r="H650" i="6"/>
  <c r="J650" i="6"/>
  <c r="K650" i="6"/>
  <c r="H651" i="6"/>
  <c r="J651" i="6"/>
  <c r="K651" i="6"/>
  <c r="H652" i="6"/>
  <c r="J652" i="6"/>
  <c r="K652" i="6"/>
  <c r="H653" i="6"/>
  <c r="J653" i="6"/>
  <c r="K653" i="6"/>
  <c r="H654" i="6"/>
  <c r="J654" i="6"/>
  <c r="K654" i="6"/>
  <c r="H655" i="6"/>
  <c r="J655" i="6"/>
  <c r="K655" i="6"/>
  <c r="H656" i="6"/>
  <c r="J656" i="6"/>
  <c r="K656" i="6"/>
  <c r="H657" i="6"/>
  <c r="J657" i="6"/>
  <c r="K657" i="6"/>
  <c r="H658" i="6"/>
  <c r="J658" i="6"/>
  <c r="K658" i="6"/>
  <c r="H659" i="6"/>
  <c r="J659" i="6"/>
  <c r="K659" i="6"/>
  <c r="H660" i="6"/>
  <c r="J660" i="6"/>
  <c r="K660" i="6"/>
  <c r="H661" i="6"/>
  <c r="J661" i="6"/>
  <c r="K661" i="6"/>
  <c r="H662" i="6"/>
  <c r="J662" i="6"/>
  <c r="K662" i="6"/>
  <c r="H663" i="6"/>
  <c r="J663" i="6"/>
  <c r="K663" i="6"/>
  <c r="H664" i="6"/>
  <c r="J664" i="6"/>
  <c r="K664" i="6"/>
  <c r="H665" i="6"/>
  <c r="J665" i="6"/>
  <c r="K665" i="6"/>
  <c r="H666" i="6"/>
  <c r="J666" i="6"/>
  <c r="K666" i="6"/>
  <c r="H667" i="6"/>
  <c r="J667" i="6"/>
  <c r="K667" i="6"/>
  <c r="H668" i="6"/>
  <c r="J668" i="6"/>
  <c r="K668" i="6"/>
  <c r="H669" i="6"/>
  <c r="J669" i="6"/>
  <c r="K669" i="6"/>
  <c r="H670" i="6"/>
  <c r="J670" i="6"/>
  <c r="K670" i="6"/>
  <c r="H671" i="6"/>
  <c r="J671" i="6"/>
  <c r="K671" i="6"/>
  <c r="H672" i="6"/>
  <c r="J672" i="6"/>
  <c r="K672" i="6"/>
  <c r="H673" i="6"/>
  <c r="J673" i="6"/>
  <c r="K673" i="6"/>
  <c r="H674" i="6"/>
  <c r="J674" i="6"/>
  <c r="K674" i="6"/>
  <c r="H675" i="6"/>
  <c r="J675" i="6"/>
  <c r="K675" i="6"/>
  <c r="H676" i="6"/>
  <c r="J676" i="6"/>
  <c r="K676" i="6"/>
  <c r="H677" i="6"/>
  <c r="J677" i="6"/>
  <c r="K677" i="6"/>
  <c r="H678" i="6"/>
  <c r="J678" i="6"/>
  <c r="K678" i="6"/>
  <c r="H679" i="6"/>
  <c r="J679" i="6"/>
  <c r="K679" i="6"/>
  <c r="H680" i="6"/>
  <c r="J680" i="6"/>
  <c r="K680" i="6"/>
  <c r="H681" i="6"/>
  <c r="J681" i="6"/>
  <c r="K681" i="6"/>
  <c r="H682" i="6"/>
  <c r="J682" i="6"/>
  <c r="K682" i="6"/>
  <c r="H683" i="6"/>
  <c r="J683" i="6"/>
  <c r="K683" i="6"/>
  <c r="H684" i="6"/>
  <c r="J684" i="6"/>
  <c r="K684" i="6"/>
  <c r="H685" i="6"/>
  <c r="J685" i="6"/>
  <c r="K685" i="6"/>
  <c r="H686" i="6"/>
  <c r="J686" i="6"/>
  <c r="K686" i="6"/>
  <c r="H687" i="6"/>
  <c r="J687" i="6"/>
  <c r="K687" i="6"/>
  <c r="H688" i="6"/>
  <c r="J688" i="6"/>
  <c r="K688" i="6"/>
  <c r="H689" i="6"/>
  <c r="J689" i="6"/>
  <c r="K689" i="6"/>
  <c r="H690" i="6"/>
  <c r="J690" i="6"/>
  <c r="K690" i="6"/>
  <c r="H691" i="6"/>
  <c r="J691" i="6"/>
  <c r="K691" i="6"/>
  <c r="H692" i="6"/>
  <c r="J692" i="6"/>
  <c r="K692" i="6"/>
  <c r="H693" i="6"/>
  <c r="J693" i="6"/>
  <c r="K693" i="6"/>
  <c r="H694" i="6"/>
  <c r="J694" i="6"/>
  <c r="K694" i="6"/>
  <c r="H695" i="6"/>
  <c r="J695" i="6"/>
  <c r="K695" i="6"/>
  <c r="H696" i="6"/>
  <c r="J696" i="6"/>
  <c r="K696" i="6"/>
  <c r="H697" i="6"/>
  <c r="J697" i="6"/>
  <c r="K697" i="6"/>
  <c r="H698" i="6"/>
  <c r="J698" i="6"/>
  <c r="K698" i="6"/>
  <c r="H699" i="6"/>
  <c r="J699" i="6"/>
  <c r="K699" i="6"/>
  <c r="H700" i="6"/>
  <c r="J700" i="6"/>
  <c r="K700" i="6"/>
  <c r="H701" i="6"/>
  <c r="J701" i="6"/>
  <c r="K701" i="6"/>
  <c r="H702" i="6"/>
  <c r="J702" i="6"/>
  <c r="K702" i="6"/>
  <c r="H703" i="6"/>
  <c r="J703" i="6"/>
  <c r="K703" i="6"/>
  <c r="H704" i="6"/>
  <c r="J704" i="6"/>
  <c r="K704" i="6"/>
  <c r="H705" i="6"/>
  <c r="J705" i="6"/>
  <c r="K705" i="6"/>
  <c r="H706" i="6"/>
  <c r="J706" i="6"/>
  <c r="K706" i="6"/>
  <c r="H707" i="6"/>
  <c r="J707" i="6"/>
  <c r="K707" i="6"/>
  <c r="H708" i="6"/>
  <c r="J708" i="6"/>
  <c r="K708" i="6"/>
  <c r="H709" i="6"/>
  <c r="J709" i="6"/>
  <c r="K709" i="6"/>
  <c r="H710" i="6"/>
  <c r="J710" i="6"/>
  <c r="K710" i="6"/>
  <c r="H711" i="6"/>
  <c r="J711" i="6"/>
  <c r="K711" i="6"/>
  <c r="H712" i="6"/>
  <c r="J712" i="6"/>
  <c r="K712" i="6"/>
  <c r="H713" i="6"/>
  <c r="J713" i="6"/>
  <c r="K713" i="6"/>
  <c r="H714" i="6"/>
  <c r="J714" i="6"/>
  <c r="K714" i="6"/>
  <c r="H715" i="6"/>
  <c r="J715" i="6"/>
  <c r="K715" i="6"/>
  <c r="H716" i="6"/>
  <c r="J716" i="6"/>
  <c r="K716" i="6"/>
  <c r="H717" i="6"/>
  <c r="J717" i="6"/>
  <c r="K717" i="6"/>
  <c r="H718" i="6"/>
  <c r="J718" i="6"/>
  <c r="K718" i="6"/>
  <c r="H719" i="6"/>
  <c r="J719" i="6"/>
  <c r="K719" i="6"/>
  <c r="H720" i="6"/>
  <c r="J720" i="6"/>
  <c r="K720" i="6"/>
  <c r="H721" i="6"/>
  <c r="J721" i="6"/>
  <c r="K721" i="6"/>
  <c r="H722" i="6"/>
  <c r="J722" i="6"/>
  <c r="K722" i="6"/>
  <c r="H723" i="6"/>
  <c r="J723" i="6"/>
  <c r="K723" i="6"/>
  <c r="H724" i="6"/>
  <c r="J724" i="6"/>
  <c r="K724" i="6"/>
  <c r="H725" i="6"/>
  <c r="J725" i="6"/>
  <c r="K725" i="6"/>
  <c r="H726" i="6"/>
  <c r="J726" i="6"/>
  <c r="K726" i="6"/>
  <c r="H727" i="6"/>
  <c r="J727" i="6"/>
  <c r="K727" i="6"/>
  <c r="H728" i="6"/>
  <c r="J728" i="6"/>
  <c r="K728" i="6"/>
  <c r="H729" i="6"/>
  <c r="J729" i="6"/>
  <c r="K729" i="6"/>
  <c r="H730" i="6"/>
  <c r="J730" i="6"/>
  <c r="K730" i="6"/>
  <c r="H731" i="6"/>
  <c r="J731" i="6"/>
  <c r="K731" i="6"/>
  <c r="H732" i="6"/>
  <c r="J732" i="6"/>
  <c r="K732" i="6"/>
  <c r="H733" i="6"/>
  <c r="J733" i="6"/>
  <c r="K733" i="6"/>
  <c r="H734" i="6"/>
  <c r="J734" i="6"/>
  <c r="K734" i="6"/>
  <c r="H735" i="6"/>
  <c r="J735" i="6"/>
  <c r="K735" i="6"/>
  <c r="H736" i="6"/>
  <c r="J736" i="6"/>
  <c r="K736" i="6"/>
  <c r="H737" i="6"/>
  <c r="J737" i="6"/>
  <c r="K737" i="6"/>
  <c r="H738" i="6"/>
  <c r="J738" i="6"/>
  <c r="K738" i="6"/>
  <c r="H739" i="6"/>
  <c r="J739" i="6"/>
  <c r="K739" i="6"/>
  <c r="H740" i="6"/>
  <c r="J740" i="6"/>
  <c r="K740" i="6"/>
  <c r="H741" i="6"/>
  <c r="J741" i="6"/>
  <c r="K741" i="6"/>
  <c r="H742" i="6"/>
  <c r="J742" i="6"/>
  <c r="K742" i="6"/>
  <c r="H743" i="6"/>
  <c r="J743" i="6"/>
  <c r="K743" i="6"/>
  <c r="H744" i="6"/>
  <c r="J744" i="6"/>
  <c r="K744" i="6"/>
  <c r="H745" i="6"/>
  <c r="J745" i="6"/>
  <c r="K745" i="6"/>
  <c r="H746" i="6"/>
  <c r="J746" i="6"/>
  <c r="K746" i="6"/>
  <c r="H747" i="6"/>
  <c r="J747" i="6"/>
  <c r="K747" i="6"/>
  <c r="H430" i="6"/>
  <c r="J430" i="6"/>
  <c r="K430" i="6"/>
  <c r="H410" i="2"/>
  <c r="J410" i="2"/>
  <c r="K410" i="2"/>
  <c r="H624" i="4"/>
  <c r="J624" i="4"/>
  <c r="K624" i="4"/>
  <c r="H625" i="4"/>
  <c r="J625" i="4"/>
  <c r="K625" i="4"/>
  <c r="H626" i="4"/>
  <c r="J626" i="4"/>
  <c r="K626" i="4"/>
  <c r="H627" i="4"/>
  <c r="J627" i="4"/>
  <c r="K627" i="4"/>
  <c r="H628" i="4"/>
  <c r="J628" i="4"/>
  <c r="K628" i="4"/>
  <c r="H629" i="4"/>
  <c r="J629" i="4"/>
  <c r="K629" i="4"/>
  <c r="H630" i="4"/>
  <c r="J630" i="4"/>
  <c r="K630" i="4"/>
  <c r="H631" i="4"/>
  <c r="J631" i="4"/>
  <c r="K631" i="4"/>
  <c r="H632" i="4"/>
  <c r="J632" i="4"/>
  <c r="K632" i="4"/>
  <c r="H633" i="4"/>
  <c r="J633" i="4"/>
  <c r="K633" i="4"/>
  <c r="H634" i="4"/>
  <c r="J634" i="4"/>
  <c r="K634" i="4"/>
  <c r="H635" i="4"/>
  <c r="J635" i="4"/>
  <c r="K635" i="4"/>
  <c r="H636" i="4"/>
  <c r="J636" i="4"/>
  <c r="K636" i="4"/>
  <c r="H637" i="4"/>
  <c r="J637" i="4"/>
  <c r="K637" i="4"/>
  <c r="H638" i="4"/>
  <c r="J638" i="4"/>
  <c r="K638" i="4"/>
  <c r="H639" i="4"/>
  <c r="J639" i="4"/>
  <c r="K639" i="4"/>
  <c r="H640" i="4"/>
  <c r="J640" i="4"/>
  <c r="K640" i="4"/>
  <c r="H641" i="4"/>
  <c r="J641" i="4"/>
  <c r="K641" i="4"/>
  <c r="H642" i="4"/>
  <c r="J642" i="4"/>
  <c r="K642" i="4"/>
  <c r="H643" i="4"/>
  <c r="J643" i="4"/>
  <c r="K643" i="4"/>
  <c r="H644" i="4"/>
  <c r="J644" i="4"/>
  <c r="K644" i="4"/>
  <c r="H645" i="4"/>
  <c r="J645" i="4"/>
  <c r="K645" i="4"/>
  <c r="H646" i="4"/>
  <c r="J646" i="4"/>
  <c r="K646" i="4"/>
  <c r="H647" i="4"/>
  <c r="J647" i="4"/>
  <c r="K647" i="4"/>
  <c r="H648" i="4"/>
  <c r="J648" i="4"/>
  <c r="K648" i="4"/>
  <c r="H649" i="4"/>
  <c r="J649" i="4"/>
  <c r="K649" i="4"/>
  <c r="H650" i="4"/>
  <c r="J650" i="4"/>
  <c r="K650" i="4"/>
  <c r="H651" i="4"/>
  <c r="J651" i="4"/>
  <c r="K651" i="4"/>
  <c r="H652" i="4"/>
  <c r="J652" i="4"/>
  <c r="K652" i="4"/>
  <c r="H653" i="4"/>
  <c r="J653" i="4"/>
  <c r="K653" i="4"/>
  <c r="H654" i="4"/>
  <c r="J654" i="4"/>
  <c r="K654" i="4"/>
  <c r="H655" i="4"/>
  <c r="J655" i="4"/>
  <c r="K655" i="4"/>
  <c r="H656" i="4"/>
  <c r="J656" i="4"/>
  <c r="K656" i="4"/>
  <c r="H657" i="4"/>
  <c r="J657" i="4"/>
  <c r="K657" i="4"/>
  <c r="H658" i="4"/>
  <c r="J658" i="4"/>
  <c r="K658" i="4"/>
  <c r="H659" i="4"/>
  <c r="J659" i="4"/>
  <c r="K659" i="4"/>
  <c r="H660" i="4"/>
  <c r="J660" i="4"/>
  <c r="K660" i="4"/>
  <c r="H661" i="4"/>
  <c r="J661" i="4"/>
  <c r="K661" i="4"/>
  <c r="H662" i="4"/>
  <c r="J662" i="4"/>
  <c r="K662" i="4"/>
  <c r="H663" i="4"/>
  <c r="J663" i="4"/>
  <c r="K663" i="4"/>
  <c r="H664" i="4"/>
  <c r="J664" i="4"/>
  <c r="K664" i="4"/>
  <c r="H665" i="4"/>
  <c r="J665" i="4"/>
  <c r="K665" i="4"/>
  <c r="H666" i="4"/>
  <c r="J666" i="4"/>
  <c r="K666" i="4"/>
  <c r="H667" i="4"/>
  <c r="J667" i="4"/>
  <c r="K667" i="4"/>
  <c r="H668" i="4"/>
  <c r="J668" i="4"/>
  <c r="K668" i="4"/>
  <c r="H669" i="4"/>
  <c r="J669" i="4"/>
  <c r="K669" i="4"/>
  <c r="H670" i="4"/>
  <c r="J670" i="4"/>
  <c r="K670" i="4"/>
  <c r="H671" i="4"/>
  <c r="J671" i="4"/>
  <c r="K671" i="4"/>
  <c r="H672" i="4"/>
  <c r="J672" i="4"/>
  <c r="K672" i="4"/>
  <c r="H673" i="4"/>
  <c r="J673" i="4"/>
  <c r="K673" i="4"/>
  <c r="H674" i="4"/>
  <c r="J674" i="4"/>
  <c r="K674" i="4"/>
  <c r="H675" i="4"/>
  <c r="J675" i="4"/>
  <c r="K675" i="4"/>
  <c r="H676" i="4"/>
  <c r="J676" i="4"/>
  <c r="K676" i="4"/>
  <c r="H677" i="4"/>
  <c r="J677" i="4"/>
  <c r="K677" i="4"/>
  <c r="H678" i="4"/>
  <c r="J678" i="4"/>
  <c r="K678" i="4"/>
  <c r="H679" i="4"/>
  <c r="J679" i="4"/>
  <c r="K679" i="4"/>
  <c r="H680" i="4"/>
  <c r="J680" i="4"/>
  <c r="K680" i="4"/>
  <c r="H681" i="4"/>
  <c r="J681" i="4"/>
  <c r="K681" i="4"/>
  <c r="H682" i="4"/>
  <c r="J682" i="4"/>
  <c r="K682" i="4"/>
  <c r="H683" i="4"/>
  <c r="J683" i="4"/>
  <c r="K683" i="4"/>
  <c r="H684" i="4"/>
  <c r="J684" i="4"/>
  <c r="K684" i="4"/>
  <c r="H685" i="4"/>
  <c r="J685" i="4"/>
  <c r="K685" i="4"/>
  <c r="H686" i="4"/>
  <c r="J686" i="4"/>
  <c r="K686" i="4"/>
  <c r="H687" i="4"/>
  <c r="J687" i="4"/>
  <c r="K687" i="4"/>
  <c r="H688" i="4"/>
  <c r="J688" i="4"/>
  <c r="K688" i="4"/>
  <c r="H689" i="4"/>
  <c r="J689" i="4"/>
  <c r="K689" i="4"/>
  <c r="H690" i="4"/>
  <c r="J690" i="4"/>
  <c r="K690" i="4"/>
  <c r="H691" i="4"/>
  <c r="J691" i="4"/>
  <c r="K691" i="4"/>
  <c r="H692" i="4"/>
  <c r="J692" i="4"/>
  <c r="K692" i="4"/>
  <c r="H693" i="4"/>
  <c r="J693" i="4"/>
  <c r="K693" i="4"/>
  <c r="H694" i="4"/>
  <c r="J694" i="4"/>
  <c r="K694" i="4"/>
  <c r="H695" i="4"/>
  <c r="J695" i="4"/>
  <c r="K695" i="4"/>
  <c r="H696" i="4"/>
  <c r="J696" i="4"/>
  <c r="K696" i="4"/>
  <c r="H697" i="4"/>
  <c r="J697" i="4"/>
  <c r="K697" i="4"/>
  <c r="H698" i="4"/>
  <c r="J698" i="4"/>
  <c r="K698" i="4"/>
  <c r="H699" i="4"/>
  <c r="J699" i="4"/>
  <c r="K699" i="4"/>
  <c r="H700" i="4"/>
  <c r="J700" i="4"/>
  <c r="K700" i="4"/>
  <c r="H701" i="4"/>
  <c r="J701" i="4"/>
  <c r="K701" i="4"/>
  <c r="H702" i="4"/>
  <c r="J702" i="4"/>
  <c r="K702" i="4"/>
  <c r="H703" i="4"/>
  <c r="J703" i="4"/>
  <c r="K703" i="4"/>
  <c r="H704" i="4"/>
  <c r="J704" i="4"/>
  <c r="K704" i="4"/>
  <c r="H705" i="4"/>
  <c r="J705" i="4"/>
  <c r="K705" i="4"/>
  <c r="H706" i="4"/>
  <c r="J706" i="4"/>
  <c r="K706" i="4"/>
  <c r="H707" i="4"/>
  <c r="J707" i="4"/>
  <c r="K707" i="4"/>
  <c r="H708" i="4"/>
  <c r="J708" i="4"/>
  <c r="K708" i="4"/>
  <c r="H709" i="4"/>
  <c r="J709" i="4"/>
  <c r="K709" i="4"/>
  <c r="H710" i="4"/>
  <c r="J710" i="4"/>
  <c r="K710" i="4"/>
  <c r="H711" i="4"/>
  <c r="J711" i="4"/>
  <c r="K711" i="4"/>
  <c r="H712" i="4"/>
  <c r="J712" i="4"/>
  <c r="K712" i="4"/>
  <c r="H713" i="4"/>
  <c r="J713" i="4"/>
  <c r="K713" i="4"/>
  <c r="H714" i="4"/>
  <c r="J714" i="4"/>
  <c r="K714" i="4"/>
  <c r="H715" i="4"/>
  <c r="J715" i="4"/>
  <c r="K715" i="4"/>
  <c r="H716" i="4"/>
  <c r="J716" i="4"/>
  <c r="K716" i="4"/>
  <c r="H717" i="4"/>
  <c r="J717" i="4"/>
  <c r="K717" i="4"/>
  <c r="H718" i="4"/>
  <c r="J718" i="4"/>
  <c r="K718" i="4"/>
  <c r="H719" i="4"/>
  <c r="J719" i="4"/>
  <c r="K719" i="4"/>
  <c r="H720" i="4"/>
  <c r="J720" i="4"/>
  <c r="K720" i="4"/>
  <c r="H721" i="4"/>
  <c r="J721" i="4"/>
  <c r="K721" i="4"/>
  <c r="H722" i="4"/>
  <c r="J722" i="4"/>
  <c r="K722" i="4"/>
  <c r="H723" i="4"/>
  <c r="J723" i="4"/>
  <c r="K723" i="4"/>
  <c r="H724" i="4"/>
  <c r="J724" i="4"/>
  <c r="K724" i="4"/>
  <c r="H725" i="4"/>
  <c r="J725" i="4"/>
  <c r="K725" i="4"/>
  <c r="H726" i="4"/>
  <c r="J726" i="4"/>
  <c r="K726" i="4"/>
  <c r="H727" i="4"/>
  <c r="J727" i="4"/>
  <c r="K727" i="4"/>
  <c r="H728" i="4"/>
  <c r="J728" i="4"/>
  <c r="K728" i="4"/>
  <c r="H729" i="4"/>
  <c r="J729" i="4"/>
  <c r="K729" i="4"/>
  <c r="H730" i="4"/>
  <c r="J730" i="4"/>
  <c r="K730" i="4"/>
  <c r="H731" i="4"/>
  <c r="J731" i="4"/>
  <c r="K731" i="4"/>
  <c r="H412" i="4"/>
  <c r="J412" i="4"/>
  <c r="K412" i="4"/>
  <c r="H413" i="4"/>
  <c r="J413" i="4"/>
  <c r="K413" i="4"/>
  <c r="H414" i="4"/>
  <c r="J414" i="4"/>
  <c r="K414" i="4"/>
  <c r="H415" i="4"/>
  <c r="J415" i="4"/>
  <c r="K415" i="4"/>
  <c r="H416" i="4"/>
  <c r="J416" i="4"/>
  <c r="K416" i="4"/>
  <c r="H417" i="4"/>
  <c r="J417" i="4"/>
  <c r="K417" i="4"/>
  <c r="H418" i="4"/>
  <c r="J418" i="4"/>
  <c r="K418" i="4"/>
  <c r="H419" i="4"/>
  <c r="J419" i="4"/>
  <c r="K419" i="4"/>
  <c r="H420" i="4"/>
  <c r="J420" i="4"/>
  <c r="K420" i="4"/>
  <c r="H421" i="4"/>
  <c r="J421" i="4"/>
  <c r="K421" i="4"/>
  <c r="H422" i="4"/>
  <c r="J422" i="4"/>
  <c r="K422" i="4"/>
  <c r="H423" i="4"/>
  <c r="J423" i="4"/>
  <c r="K423" i="4"/>
  <c r="H424" i="4"/>
  <c r="J424" i="4"/>
  <c r="K424" i="4"/>
  <c r="H425" i="4"/>
  <c r="J425" i="4"/>
  <c r="K425" i="4"/>
  <c r="H426" i="4"/>
  <c r="J426" i="4"/>
  <c r="K426" i="4"/>
  <c r="H427" i="4"/>
  <c r="J427" i="4"/>
  <c r="K427" i="4"/>
  <c r="H428" i="4"/>
  <c r="J428" i="4"/>
  <c r="K428" i="4"/>
  <c r="H429" i="4"/>
  <c r="J429" i="4"/>
  <c r="K429" i="4"/>
  <c r="H430" i="4"/>
  <c r="J430" i="4"/>
  <c r="K430" i="4"/>
  <c r="H431" i="4"/>
  <c r="J431" i="4"/>
  <c r="K431" i="4"/>
  <c r="H432" i="4"/>
  <c r="J432" i="4"/>
  <c r="K432" i="4"/>
  <c r="H433" i="4"/>
  <c r="J433" i="4"/>
  <c r="K433" i="4"/>
  <c r="H434" i="4"/>
  <c r="J434" i="4"/>
  <c r="K434" i="4"/>
  <c r="H435" i="4"/>
  <c r="J435" i="4"/>
  <c r="K435" i="4"/>
  <c r="H436" i="4"/>
  <c r="J436" i="4"/>
  <c r="K436" i="4"/>
  <c r="H437" i="4"/>
  <c r="J437" i="4"/>
  <c r="K437" i="4"/>
  <c r="H438" i="4"/>
  <c r="J438" i="4"/>
  <c r="K438" i="4"/>
  <c r="H439" i="4"/>
  <c r="J439" i="4"/>
  <c r="K439" i="4"/>
  <c r="H440" i="4"/>
  <c r="J440" i="4"/>
  <c r="K440" i="4"/>
  <c r="H441" i="4"/>
  <c r="J441" i="4"/>
  <c r="K441" i="4"/>
  <c r="H442" i="4"/>
  <c r="J442" i="4"/>
  <c r="K442" i="4"/>
  <c r="H443" i="4"/>
  <c r="J443" i="4"/>
  <c r="K443" i="4"/>
  <c r="H444" i="4"/>
  <c r="J444" i="4"/>
  <c r="K444" i="4"/>
  <c r="H445" i="4"/>
  <c r="J445" i="4"/>
  <c r="K445" i="4"/>
  <c r="H446" i="4"/>
  <c r="J446" i="4"/>
  <c r="K446" i="4"/>
  <c r="H447" i="4"/>
  <c r="J447" i="4"/>
  <c r="K447" i="4"/>
  <c r="H448" i="4"/>
  <c r="J448" i="4"/>
  <c r="K448" i="4"/>
  <c r="H449" i="4"/>
  <c r="J449" i="4"/>
  <c r="K449" i="4"/>
  <c r="H450" i="4"/>
  <c r="J450" i="4"/>
  <c r="K450" i="4"/>
  <c r="H451" i="4"/>
  <c r="J451" i="4"/>
  <c r="K451" i="4"/>
  <c r="H452" i="4"/>
  <c r="J452" i="4"/>
  <c r="K452" i="4"/>
  <c r="H453" i="4"/>
  <c r="J453" i="4"/>
  <c r="K453" i="4"/>
  <c r="H454" i="4"/>
  <c r="J454" i="4"/>
  <c r="K454" i="4"/>
  <c r="H455" i="4"/>
  <c r="J455" i="4"/>
  <c r="K455" i="4"/>
  <c r="H456" i="4"/>
  <c r="J456" i="4"/>
  <c r="K456" i="4"/>
  <c r="H457" i="4"/>
  <c r="J457" i="4"/>
  <c r="K457" i="4"/>
  <c r="H458" i="4"/>
  <c r="J458" i="4"/>
  <c r="K458" i="4"/>
  <c r="H459" i="4"/>
  <c r="J459" i="4"/>
  <c r="K459" i="4"/>
  <c r="H460" i="4"/>
  <c r="J460" i="4"/>
  <c r="K460" i="4"/>
  <c r="H461" i="4"/>
  <c r="J461" i="4"/>
  <c r="K461" i="4"/>
  <c r="H462" i="4"/>
  <c r="J462" i="4"/>
  <c r="K462" i="4"/>
  <c r="H463" i="4"/>
  <c r="J463" i="4"/>
  <c r="K463" i="4"/>
  <c r="H464" i="4"/>
  <c r="J464" i="4"/>
  <c r="K464" i="4"/>
  <c r="H465" i="4"/>
  <c r="J465" i="4"/>
  <c r="K465" i="4"/>
  <c r="H466" i="4"/>
  <c r="J466" i="4"/>
  <c r="K466" i="4"/>
  <c r="H467" i="4"/>
  <c r="J467" i="4"/>
  <c r="K467" i="4"/>
  <c r="H468" i="4"/>
  <c r="J468" i="4"/>
  <c r="K468" i="4"/>
  <c r="H469" i="4"/>
  <c r="J469" i="4"/>
  <c r="K469" i="4"/>
  <c r="H470" i="4"/>
  <c r="J470" i="4"/>
  <c r="K470" i="4"/>
  <c r="H471" i="4"/>
  <c r="J471" i="4"/>
  <c r="K471" i="4"/>
  <c r="H472" i="4"/>
  <c r="J472" i="4"/>
  <c r="K472" i="4"/>
  <c r="H473" i="4"/>
  <c r="J473" i="4"/>
  <c r="K473" i="4"/>
  <c r="H474" i="4"/>
  <c r="J474" i="4"/>
  <c r="K474" i="4"/>
  <c r="H475" i="4"/>
  <c r="J475" i="4"/>
  <c r="K475" i="4"/>
  <c r="H476" i="4"/>
  <c r="J476" i="4"/>
  <c r="K476" i="4"/>
  <c r="H477" i="4"/>
  <c r="J477" i="4"/>
  <c r="K477" i="4"/>
  <c r="H478" i="4"/>
  <c r="J478" i="4"/>
  <c r="K478" i="4"/>
  <c r="H479" i="4"/>
  <c r="J479" i="4"/>
  <c r="K479" i="4"/>
  <c r="H480" i="4"/>
  <c r="J480" i="4"/>
  <c r="K480" i="4"/>
  <c r="H481" i="4"/>
  <c r="J481" i="4"/>
  <c r="K481" i="4"/>
  <c r="H482" i="4"/>
  <c r="J482" i="4"/>
  <c r="K482" i="4"/>
  <c r="H483" i="4"/>
  <c r="J483" i="4"/>
  <c r="K483" i="4"/>
  <c r="H484" i="4"/>
  <c r="J484" i="4"/>
  <c r="K484" i="4"/>
  <c r="H485" i="4"/>
  <c r="J485" i="4"/>
  <c r="K485" i="4"/>
  <c r="H486" i="4"/>
  <c r="J486" i="4"/>
  <c r="K486" i="4"/>
  <c r="H487" i="4"/>
  <c r="J487" i="4"/>
  <c r="K487" i="4"/>
  <c r="H488" i="4"/>
  <c r="J488" i="4"/>
  <c r="K488" i="4"/>
  <c r="H489" i="4"/>
  <c r="J489" i="4"/>
  <c r="K489" i="4"/>
  <c r="H490" i="4"/>
  <c r="J490" i="4"/>
  <c r="K490" i="4"/>
  <c r="H491" i="4"/>
  <c r="J491" i="4"/>
  <c r="K491" i="4"/>
  <c r="H492" i="4"/>
  <c r="J492" i="4"/>
  <c r="K492" i="4"/>
  <c r="H493" i="4"/>
  <c r="J493" i="4"/>
  <c r="K493" i="4"/>
  <c r="H494" i="4"/>
  <c r="J494" i="4"/>
  <c r="K494" i="4"/>
  <c r="H495" i="4"/>
  <c r="J495" i="4"/>
  <c r="K495" i="4"/>
  <c r="H496" i="4"/>
  <c r="J496" i="4"/>
  <c r="K496" i="4"/>
  <c r="H497" i="4"/>
  <c r="J497" i="4"/>
  <c r="K497" i="4"/>
  <c r="H498" i="4"/>
  <c r="J498" i="4"/>
  <c r="K498" i="4"/>
  <c r="H499" i="4"/>
  <c r="J499" i="4"/>
  <c r="K499" i="4"/>
  <c r="H500" i="4"/>
  <c r="J500" i="4"/>
  <c r="K500" i="4"/>
  <c r="H501" i="4"/>
  <c r="J501" i="4"/>
  <c r="K501" i="4"/>
  <c r="H502" i="4"/>
  <c r="J502" i="4"/>
  <c r="K502" i="4"/>
  <c r="H503" i="4"/>
  <c r="J503" i="4"/>
  <c r="K503" i="4"/>
  <c r="H504" i="4"/>
  <c r="J504" i="4"/>
  <c r="K504" i="4"/>
  <c r="H505" i="4"/>
  <c r="J505" i="4"/>
  <c r="K505" i="4"/>
  <c r="H506" i="4"/>
  <c r="J506" i="4"/>
  <c r="K506" i="4"/>
  <c r="H507" i="4"/>
  <c r="J507" i="4"/>
  <c r="K507" i="4"/>
  <c r="H508" i="4"/>
  <c r="J508" i="4"/>
  <c r="K508" i="4"/>
  <c r="H509" i="4"/>
  <c r="J509" i="4"/>
  <c r="K509" i="4"/>
  <c r="H510" i="4"/>
  <c r="J510" i="4"/>
  <c r="K510" i="4"/>
  <c r="H511" i="4"/>
  <c r="J511" i="4"/>
  <c r="K511" i="4"/>
  <c r="H512" i="4"/>
  <c r="J512" i="4"/>
  <c r="K512" i="4"/>
  <c r="H513" i="4"/>
  <c r="J513" i="4"/>
  <c r="K513" i="4"/>
  <c r="H514" i="4"/>
  <c r="J514" i="4"/>
  <c r="K514" i="4"/>
  <c r="H515" i="4"/>
  <c r="J515" i="4"/>
  <c r="K515" i="4"/>
  <c r="H516" i="4"/>
  <c r="J516" i="4"/>
  <c r="K516" i="4"/>
  <c r="H517" i="4"/>
  <c r="J517" i="4"/>
  <c r="K517" i="4"/>
  <c r="H518" i="4"/>
  <c r="J518" i="4"/>
  <c r="K518" i="4"/>
  <c r="H519" i="4"/>
  <c r="J519" i="4"/>
  <c r="K519" i="4"/>
  <c r="H520" i="4"/>
  <c r="J520" i="4"/>
  <c r="K520" i="4"/>
  <c r="H521" i="4"/>
  <c r="J521" i="4"/>
  <c r="K521" i="4"/>
  <c r="H522" i="4"/>
  <c r="J522" i="4"/>
  <c r="K522" i="4"/>
  <c r="H523" i="4"/>
  <c r="J523" i="4"/>
  <c r="K523" i="4"/>
  <c r="H524" i="4"/>
  <c r="J524" i="4"/>
  <c r="K524" i="4"/>
  <c r="H525" i="4"/>
  <c r="J525" i="4"/>
  <c r="K525" i="4"/>
  <c r="H526" i="4"/>
  <c r="J526" i="4"/>
  <c r="K526" i="4"/>
  <c r="H527" i="4"/>
  <c r="J527" i="4"/>
  <c r="K527" i="4"/>
  <c r="H528" i="4"/>
  <c r="J528" i="4"/>
  <c r="K528" i="4"/>
  <c r="H529" i="4"/>
  <c r="J529" i="4"/>
  <c r="K529" i="4"/>
  <c r="H530" i="4"/>
  <c r="J530" i="4"/>
  <c r="K530" i="4"/>
  <c r="H531" i="4"/>
  <c r="J531" i="4"/>
  <c r="K531" i="4"/>
  <c r="H532" i="4"/>
  <c r="J532" i="4"/>
  <c r="K532" i="4"/>
  <c r="H533" i="4"/>
  <c r="J533" i="4"/>
  <c r="K533" i="4"/>
  <c r="H534" i="4"/>
  <c r="J534" i="4"/>
  <c r="K534" i="4"/>
  <c r="H535" i="4"/>
  <c r="J535" i="4"/>
  <c r="K535" i="4"/>
  <c r="H536" i="4"/>
  <c r="J536" i="4"/>
  <c r="K536" i="4"/>
  <c r="H537" i="4"/>
  <c r="J537" i="4"/>
  <c r="K537" i="4"/>
  <c r="H538" i="4"/>
  <c r="J538" i="4"/>
  <c r="K538" i="4"/>
  <c r="H539" i="4"/>
  <c r="J539" i="4"/>
  <c r="K539" i="4"/>
  <c r="H540" i="4"/>
  <c r="J540" i="4"/>
  <c r="K540" i="4"/>
  <c r="H541" i="4"/>
  <c r="J541" i="4"/>
  <c r="K541" i="4"/>
  <c r="H542" i="4"/>
  <c r="J542" i="4"/>
  <c r="K542" i="4"/>
  <c r="H543" i="4"/>
  <c r="J543" i="4"/>
  <c r="K543" i="4"/>
  <c r="H544" i="4"/>
  <c r="J544" i="4"/>
  <c r="K544" i="4"/>
  <c r="H545" i="4"/>
  <c r="J545" i="4"/>
  <c r="K545" i="4"/>
  <c r="H546" i="4"/>
  <c r="J546" i="4"/>
  <c r="K546" i="4"/>
  <c r="H547" i="4"/>
  <c r="J547" i="4"/>
  <c r="K547" i="4"/>
  <c r="H548" i="4"/>
  <c r="J548" i="4"/>
  <c r="K548" i="4"/>
  <c r="H549" i="4"/>
  <c r="J549" i="4"/>
  <c r="K549" i="4"/>
  <c r="H550" i="4"/>
  <c r="J550" i="4"/>
  <c r="K550" i="4"/>
  <c r="H551" i="4"/>
  <c r="J551" i="4"/>
  <c r="K551" i="4"/>
  <c r="H552" i="4"/>
  <c r="J552" i="4"/>
  <c r="K552" i="4"/>
  <c r="H553" i="4"/>
  <c r="J553" i="4"/>
  <c r="K553" i="4"/>
  <c r="H554" i="4"/>
  <c r="J554" i="4"/>
  <c r="K554" i="4"/>
  <c r="H555" i="4"/>
  <c r="J555" i="4"/>
  <c r="K555" i="4"/>
  <c r="H556" i="4"/>
  <c r="J556" i="4"/>
  <c r="K556" i="4"/>
  <c r="H557" i="4"/>
  <c r="J557" i="4"/>
  <c r="K557" i="4"/>
  <c r="H558" i="4"/>
  <c r="J558" i="4"/>
  <c r="K558" i="4"/>
  <c r="H559" i="4"/>
  <c r="J559" i="4"/>
  <c r="K559" i="4"/>
  <c r="H560" i="4"/>
  <c r="J560" i="4"/>
  <c r="K560" i="4"/>
  <c r="H561" i="4"/>
  <c r="J561" i="4"/>
  <c r="K561" i="4"/>
  <c r="H562" i="4"/>
  <c r="J562" i="4"/>
  <c r="K562" i="4"/>
  <c r="H563" i="4"/>
  <c r="J563" i="4"/>
  <c r="K563" i="4"/>
  <c r="H564" i="4"/>
  <c r="J564" i="4"/>
  <c r="K564" i="4"/>
  <c r="H565" i="4"/>
  <c r="J565" i="4"/>
  <c r="K565" i="4"/>
  <c r="H566" i="4"/>
  <c r="J566" i="4"/>
  <c r="K566" i="4"/>
  <c r="H567" i="4"/>
  <c r="J567" i="4"/>
  <c r="K567" i="4"/>
  <c r="H568" i="4"/>
  <c r="J568" i="4"/>
  <c r="K568" i="4"/>
  <c r="H569" i="4"/>
  <c r="J569" i="4"/>
  <c r="K569" i="4"/>
  <c r="H570" i="4"/>
  <c r="J570" i="4"/>
  <c r="K570" i="4"/>
  <c r="H571" i="4"/>
  <c r="J571" i="4"/>
  <c r="K571" i="4"/>
  <c r="H572" i="4"/>
  <c r="J572" i="4"/>
  <c r="K572" i="4"/>
  <c r="H573" i="4"/>
  <c r="J573" i="4"/>
  <c r="K573" i="4"/>
  <c r="H574" i="4"/>
  <c r="J574" i="4"/>
  <c r="K574" i="4"/>
  <c r="H575" i="4"/>
  <c r="J575" i="4"/>
  <c r="K575" i="4"/>
  <c r="H576" i="4"/>
  <c r="J576" i="4"/>
  <c r="K576" i="4"/>
  <c r="H577" i="4"/>
  <c r="J577" i="4"/>
  <c r="K577" i="4"/>
  <c r="H578" i="4"/>
  <c r="J578" i="4"/>
  <c r="K578" i="4"/>
  <c r="H579" i="4"/>
  <c r="J579" i="4"/>
  <c r="K579" i="4"/>
  <c r="H580" i="4"/>
  <c r="J580" i="4"/>
  <c r="K580" i="4"/>
  <c r="H581" i="4"/>
  <c r="J581" i="4"/>
  <c r="K581" i="4"/>
  <c r="H582" i="4"/>
  <c r="J582" i="4"/>
  <c r="K582" i="4"/>
  <c r="H583" i="4"/>
  <c r="J583" i="4"/>
  <c r="K583" i="4"/>
  <c r="H584" i="4"/>
  <c r="J584" i="4"/>
  <c r="K584" i="4"/>
  <c r="H585" i="4"/>
  <c r="J585" i="4"/>
  <c r="K585" i="4"/>
  <c r="H586" i="4"/>
  <c r="J586" i="4"/>
  <c r="K586" i="4"/>
  <c r="H587" i="4"/>
  <c r="J587" i="4"/>
  <c r="K587" i="4"/>
  <c r="H588" i="4"/>
  <c r="J588" i="4"/>
  <c r="K588" i="4"/>
  <c r="H589" i="4"/>
  <c r="J589" i="4"/>
  <c r="K589" i="4"/>
  <c r="H590" i="4"/>
  <c r="J590" i="4"/>
  <c r="K590" i="4"/>
  <c r="H591" i="4"/>
  <c r="J591" i="4"/>
  <c r="K591" i="4"/>
  <c r="H592" i="4"/>
  <c r="J592" i="4"/>
  <c r="K592" i="4"/>
  <c r="H593" i="4"/>
  <c r="J593" i="4"/>
  <c r="K593" i="4"/>
  <c r="H594" i="4"/>
  <c r="J594" i="4"/>
  <c r="K594" i="4"/>
  <c r="H595" i="4"/>
  <c r="J595" i="4"/>
  <c r="K595" i="4"/>
  <c r="H596" i="4"/>
  <c r="J596" i="4"/>
  <c r="K596" i="4"/>
  <c r="H597" i="4"/>
  <c r="J597" i="4"/>
  <c r="K597" i="4"/>
  <c r="H598" i="4"/>
  <c r="J598" i="4"/>
  <c r="K598" i="4"/>
  <c r="H599" i="4"/>
  <c r="J599" i="4"/>
  <c r="K599" i="4"/>
  <c r="H600" i="4"/>
  <c r="J600" i="4"/>
  <c r="K600" i="4"/>
  <c r="H601" i="4"/>
  <c r="J601" i="4"/>
  <c r="K601" i="4"/>
  <c r="H602" i="4"/>
  <c r="J602" i="4"/>
  <c r="K602" i="4"/>
  <c r="H603" i="4"/>
  <c r="J603" i="4"/>
  <c r="K603" i="4"/>
  <c r="H604" i="4"/>
  <c r="J604" i="4"/>
  <c r="K604" i="4"/>
  <c r="H605" i="4"/>
  <c r="J605" i="4"/>
  <c r="K605" i="4"/>
  <c r="H606" i="4"/>
  <c r="J606" i="4"/>
  <c r="K606" i="4"/>
  <c r="H607" i="4"/>
  <c r="J607" i="4"/>
  <c r="K607" i="4"/>
  <c r="H608" i="4"/>
  <c r="J608" i="4"/>
  <c r="K608" i="4"/>
  <c r="H609" i="4"/>
  <c r="J609" i="4"/>
  <c r="K609" i="4"/>
  <c r="H610" i="4"/>
  <c r="J610" i="4"/>
  <c r="K610" i="4"/>
  <c r="H611" i="4"/>
  <c r="J611" i="4"/>
  <c r="K611" i="4"/>
  <c r="H612" i="4"/>
  <c r="J612" i="4"/>
  <c r="K612" i="4"/>
  <c r="H613" i="4"/>
  <c r="J613" i="4"/>
  <c r="K613" i="4"/>
  <c r="H614" i="4"/>
  <c r="J614" i="4"/>
  <c r="K614" i="4"/>
  <c r="H615" i="4"/>
  <c r="J615" i="4"/>
  <c r="K615" i="4"/>
  <c r="H616" i="4"/>
  <c r="J616" i="4"/>
  <c r="K616" i="4"/>
  <c r="H617" i="4"/>
  <c r="J617" i="4"/>
  <c r="K617" i="4"/>
  <c r="H618" i="4"/>
  <c r="J618" i="4"/>
  <c r="K618" i="4"/>
  <c r="H619" i="4"/>
  <c r="J619" i="4"/>
  <c r="K619" i="4"/>
  <c r="H620" i="4"/>
  <c r="J620" i="4"/>
  <c r="K620" i="4"/>
  <c r="H621" i="4"/>
  <c r="J621" i="4"/>
  <c r="K621" i="4"/>
  <c r="H622" i="4"/>
  <c r="J622" i="4"/>
  <c r="K622" i="4"/>
  <c r="H623" i="4"/>
  <c r="J623" i="4"/>
  <c r="K623" i="4"/>
  <c r="H411" i="4"/>
  <c r="J411" i="4"/>
  <c r="K411" i="4"/>
  <c r="H410" i="4"/>
  <c r="J410" i="4"/>
  <c r="K410" i="4"/>
  <c r="H233" i="6"/>
  <c r="J233" i="6"/>
  <c r="K233" i="6"/>
  <c r="H297" i="6"/>
  <c r="J297" i="6"/>
  <c r="K297" i="6"/>
  <c r="H361" i="6"/>
  <c r="J361" i="6"/>
  <c r="K361" i="6"/>
  <c r="H286" i="6"/>
  <c r="J286" i="6"/>
  <c r="K286" i="6"/>
  <c r="H407" i="6"/>
  <c r="J407" i="6"/>
  <c r="K407" i="6"/>
  <c r="H425" i="6"/>
  <c r="J425" i="6"/>
  <c r="K425" i="6"/>
  <c r="H162" i="6"/>
  <c r="J162" i="6"/>
  <c r="K162" i="6"/>
  <c r="H163" i="6"/>
  <c r="J163" i="6"/>
  <c r="K163" i="6"/>
  <c r="H164" i="6"/>
  <c r="J164" i="6"/>
  <c r="K164" i="6"/>
  <c r="H165" i="6"/>
  <c r="J165" i="6"/>
  <c r="K165" i="6"/>
  <c r="H166" i="6"/>
  <c r="J166" i="6"/>
  <c r="K166" i="6"/>
  <c r="H167" i="6"/>
  <c r="J167" i="6"/>
  <c r="K167" i="6"/>
  <c r="H168" i="6"/>
  <c r="J168" i="6"/>
  <c r="K168" i="6"/>
  <c r="H169" i="6"/>
  <c r="J169" i="6"/>
  <c r="K169" i="6"/>
  <c r="H170" i="6"/>
  <c r="J170" i="6"/>
  <c r="K170" i="6"/>
  <c r="H171" i="6"/>
  <c r="J171" i="6"/>
  <c r="K171" i="6"/>
  <c r="H172" i="6"/>
  <c r="J172" i="6"/>
  <c r="K172" i="6"/>
  <c r="H173" i="6"/>
  <c r="J173" i="6"/>
  <c r="K173" i="6"/>
  <c r="H174" i="6"/>
  <c r="J174" i="6"/>
  <c r="K174" i="6"/>
  <c r="H175" i="6"/>
  <c r="J175" i="6"/>
  <c r="K175" i="6"/>
  <c r="H176" i="6"/>
  <c r="J176" i="6"/>
  <c r="K176" i="6"/>
  <c r="H177" i="6"/>
  <c r="J177" i="6"/>
  <c r="K177" i="6"/>
  <c r="H178" i="6"/>
  <c r="J178" i="6"/>
  <c r="K178" i="6"/>
  <c r="H179" i="6"/>
  <c r="J179" i="6"/>
  <c r="K179" i="6"/>
  <c r="H180" i="6"/>
  <c r="J180" i="6"/>
  <c r="K180" i="6"/>
  <c r="H181" i="6"/>
  <c r="J181" i="6"/>
  <c r="K181" i="6"/>
  <c r="H182" i="6"/>
  <c r="J182" i="6"/>
  <c r="K182" i="6"/>
  <c r="H183" i="6"/>
  <c r="J183" i="6"/>
  <c r="K183" i="6"/>
  <c r="H184" i="6"/>
  <c r="J184" i="6"/>
  <c r="K184" i="6"/>
  <c r="H185" i="6"/>
  <c r="J185" i="6"/>
  <c r="K185" i="6"/>
  <c r="H186" i="6"/>
  <c r="J186" i="6"/>
  <c r="K186" i="6"/>
  <c r="H187" i="6"/>
  <c r="J187" i="6"/>
  <c r="K187" i="6"/>
  <c r="H188" i="6"/>
  <c r="J188" i="6"/>
  <c r="K188" i="6"/>
  <c r="H189" i="6"/>
  <c r="J189" i="6"/>
  <c r="K189" i="6"/>
  <c r="H190" i="6"/>
  <c r="J190" i="6"/>
  <c r="K190" i="6"/>
  <c r="H191" i="6"/>
  <c r="J191" i="6"/>
  <c r="K191" i="6"/>
  <c r="H192" i="6"/>
  <c r="J192" i="6"/>
  <c r="K192" i="6"/>
  <c r="H193" i="6"/>
  <c r="J193" i="6"/>
  <c r="K193" i="6"/>
  <c r="H194" i="6"/>
  <c r="J194" i="6"/>
  <c r="K194" i="6"/>
  <c r="H195" i="6"/>
  <c r="J195" i="6"/>
  <c r="K195" i="6"/>
  <c r="H196" i="6"/>
  <c r="J196" i="6"/>
  <c r="K196" i="6"/>
  <c r="H197" i="6"/>
  <c r="J197" i="6"/>
  <c r="K197" i="6"/>
  <c r="H198" i="6"/>
  <c r="J198" i="6"/>
  <c r="K198" i="6"/>
  <c r="H199" i="6"/>
  <c r="J199" i="6"/>
  <c r="K199" i="6"/>
  <c r="H200" i="6"/>
  <c r="J200" i="6"/>
  <c r="K200" i="6"/>
  <c r="H201" i="6"/>
  <c r="J201" i="6"/>
  <c r="K201" i="6"/>
  <c r="H202" i="6"/>
  <c r="J202" i="6"/>
  <c r="K202" i="6"/>
  <c r="H203" i="6"/>
  <c r="J203" i="6"/>
  <c r="K203" i="6"/>
  <c r="H204" i="6"/>
  <c r="J204" i="6"/>
  <c r="K204" i="6"/>
  <c r="H205" i="6"/>
  <c r="J205" i="6"/>
  <c r="K205" i="6"/>
  <c r="H206" i="6"/>
  <c r="J206" i="6"/>
  <c r="K206" i="6"/>
  <c r="H207" i="6"/>
  <c r="J207" i="6"/>
  <c r="K207" i="6"/>
  <c r="H208" i="6"/>
  <c r="J208" i="6"/>
  <c r="K208" i="6"/>
  <c r="H209" i="6"/>
  <c r="J209" i="6"/>
  <c r="K209" i="6"/>
  <c r="H210" i="6"/>
  <c r="J210" i="6"/>
  <c r="K210" i="6"/>
  <c r="H211" i="6"/>
  <c r="J211" i="6"/>
  <c r="K211" i="6"/>
  <c r="H212" i="6"/>
  <c r="J212" i="6"/>
  <c r="K212" i="6"/>
  <c r="H213" i="6"/>
  <c r="J213" i="6"/>
  <c r="K213" i="6"/>
  <c r="H214" i="6"/>
  <c r="J214" i="6"/>
  <c r="K214" i="6"/>
  <c r="H215" i="6"/>
  <c r="J215" i="6"/>
  <c r="K215" i="6"/>
  <c r="H216" i="6"/>
  <c r="J216" i="6"/>
  <c r="K216" i="6"/>
  <c r="H217" i="6"/>
  <c r="J217" i="6"/>
  <c r="K217" i="6"/>
  <c r="H218" i="6"/>
  <c r="J218" i="6"/>
  <c r="K218" i="6"/>
  <c r="H219" i="6"/>
  <c r="J219" i="6"/>
  <c r="K219" i="6"/>
  <c r="H220" i="6"/>
  <c r="J220" i="6"/>
  <c r="K220" i="6"/>
  <c r="H221" i="6"/>
  <c r="J221" i="6"/>
  <c r="K221" i="6"/>
  <c r="H222" i="6"/>
  <c r="J222" i="6"/>
  <c r="K222" i="6"/>
  <c r="H223" i="6"/>
  <c r="J223" i="6"/>
  <c r="K223" i="6"/>
  <c r="H224" i="6"/>
  <c r="J224" i="6"/>
  <c r="K224" i="6"/>
  <c r="H225" i="6"/>
  <c r="J225" i="6"/>
  <c r="K225" i="6"/>
  <c r="H226" i="6"/>
  <c r="J226" i="6"/>
  <c r="K226" i="6"/>
  <c r="H227" i="6"/>
  <c r="J227" i="6"/>
  <c r="K227" i="6"/>
  <c r="H228" i="6"/>
  <c r="J228" i="6"/>
  <c r="K228" i="6"/>
  <c r="H229" i="6"/>
  <c r="J229" i="6"/>
  <c r="K229" i="6"/>
  <c r="H230" i="6"/>
  <c r="J230" i="6"/>
  <c r="K230" i="6"/>
  <c r="H231" i="6"/>
  <c r="J231" i="6"/>
  <c r="K231" i="6"/>
  <c r="H232" i="6"/>
  <c r="J232" i="6"/>
  <c r="K232" i="6"/>
  <c r="H234" i="6"/>
  <c r="J234" i="6"/>
  <c r="K234" i="6"/>
  <c r="H235" i="6"/>
  <c r="J235" i="6"/>
  <c r="K235" i="6"/>
  <c r="H236" i="6"/>
  <c r="J236" i="6"/>
  <c r="K236" i="6"/>
  <c r="H237" i="6"/>
  <c r="J237" i="6"/>
  <c r="K237" i="6"/>
  <c r="H238" i="6"/>
  <c r="J238" i="6"/>
  <c r="K238" i="6"/>
  <c r="H239" i="6"/>
  <c r="J239" i="6"/>
  <c r="K239" i="6"/>
  <c r="H240" i="6"/>
  <c r="J240" i="6"/>
  <c r="K240" i="6"/>
  <c r="H241" i="6"/>
  <c r="J241" i="6"/>
  <c r="K241" i="6"/>
  <c r="H242" i="6"/>
  <c r="J242" i="6"/>
  <c r="K242" i="6"/>
  <c r="H243" i="6"/>
  <c r="J243" i="6"/>
  <c r="K243" i="6"/>
  <c r="H244" i="6"/>
  <c r="J244" i="6"/>
  <c r="K244" i="6"/>
  <c r="H245" i="6"/>
  <c r="J245" i="6"/>
  <c r="K245" i="6"/>
  <c r="H246" i="6"/>
  <c r="J246" i="6"/>
  <c r="K246" i="6"/>
  <c r="H247" i="6"/>
  <c r="J247" i="6"/>
  <c r="K247" i="6"/>
  <c r="H248" i="6"/>
  <c r="J248" i="6"/>
  <c r="K248" i="6"/>
  <c r="H249" i="6"/>
  <c r="J249" i="6"/>
  <c r="K249" i="6"/>
  <c r="H250" i="6"/>
  <c r="J250" i="6"/>
  <c r="K250" i="6"/>
  <c r="H251" i="6"/>
  <c r="J251" i="6"/>
  <c r="K251" i="6"/>
  <c r="H252" i="6"/>
  <c r="J252" i="6"/>
  <c r="K252" i="6"/>
  <c r="H253" i="6"/>
  <c r="J253" i="6"/>
  <c r="K253" i="6"/>
  <c r="H254" i="6"/>
  <c r="J254" i="6"/>
  <c r="K254" i="6"/>
  <c r="H255" i="6"/>
  <c r="J255" i="6"/>
  <c r="K255" i="6"/>
  <c r="H256" i="6"/>
  <c r="J256" i="6"/>
  <c r="K256" i="6"/>
  <c r="H257" i="6"/>
  <c r="J257" i="6"/>
  <c r="K257" i="6"/>
  <c r="H258" i="6"/>
  <c r="J258" i="6"/>
  <c r="K258" i="6"/>
  <c r="H259" i="6"/>
  <c r="J259" i="6"/>
  <c r="K259" i="6"/>
  <c r="H260" i="6"/>
  <c r="J260" i="6"/>
  <c r="K260" i="6"/>
  <c r="H261" i="6"/>
  <c r="J261" i="6"/>
  <c r="K261" i="6"/>
  <c r="H262" i="6"/>
  <c r="J262" i="6"/>
  <c r="K262" i="6"/>
  <c r="H263" i="6"/>
  <c r="J263" i="6"/>
  <c r="K263" i="6"/>
  <c r="H264" i="6"/>
  <c r="J264" i="6"/>
  <c r="K264" i="6"/>
  <c r="H265" i="6"/>
  <c r="J265" i="6"/>
  <c r="K265" i="6"/>
  <c r="H266" i="6"/>
  <c r="J266" i="6"/>
  <c r="K266" i="6"/>
  <c r="H267" i="6"/>
  <c r="J267" i="6"/>
  <c r="K267" i="6"/>
  <c r="H268" i="6"/>
  <c r="J268" i="6"/>
  <c r="K268" i="6"/>
  <c r="H269" i="6"/>
  <c r="J269" i="6"/>
  <c r="K269" i="6"/>
  <c r="H270" i="6"/>
  <c r="J270" i="6"/>
  <c r="K270" i="6"/>
  <c r="H271" i="6"/>
  <c r="J271" i="6"/>
  <c r="K271" i="6"/>
  <c r="H272" i="6"/>
  <c r="J272" i="6"/>
  <c r="K272" i="6"/>
  <c r="H273" i="6"/>
  <c r="J273" i="6"/>
  <c r="K273" i="6"/>
  <c r="H274" i="6"/>
  <c r="J274" i="6"/>
  <c r="K274" i="6"/>
  <c r="H275" i="6"/>
  <c r="J275" i="6"/>
  <c r="K275" i="6"/>
  <c r="H276" i="6"/>
  <c r="J276" i="6"/>
  <c r="K276" i="6"/>
  <c r="H277" i="6"/>
  <c r="J277" i="6"/>
  <c r="K277" i="6"/>
  <c r="H278" i="6"/>
  <c r="J278" i="6"/>
  <c r="K278" i="6"/>
  <c r="H279" i="6"/>
  <c r="J279" i="6"/>
  <c r="K279" i="6"/>
  <c r="H280" i="6"/>
  <c r="J280" i="6"/>
  <c r="K280" i="6"/>
  <c r="H281" i="6"/>
  <c r="J281" i="6"/>
  <c r="K281" i="6"/>
  <c r="H282" i="6"/>
  <c r="J282" i="6"/>
  <c r="K282" i="6"/>
  <c r="H283" i="6"/>
  <c r="J283" i="6"/>
  <c r="K283" i="6"/>
  <c r="H284" i="6"/>
  <c r="J284" i="6"/>
  <c r="K284" i="6"/>
  <c r="H285" i="6"/>
  <c r="J285" i="6"/>
  <c r="K285" i="6"/>
  <c r="H287" i="6"/>
  <c r="J287" i="6"/>
  <c r="K287" i="6"/>
  <c r="H288" i="6"/>
  <c r="J288" i="6"/>
  <c r="K288" i="6"/>
  <c r="H289" i="6"/>
  <c r="J289" i="6"/>
  <c r="K289" i="6"/>
  <c r="H290" i="6"/>
  <c r="J290" i="6"/>
  <c r="K290" i="6"/>
  <c r="H291" i="6"/>
  <c r="J291" i="6"/>
  <c r="K291" i="6"/>
  <c r="H292" i="6"/>
  <c r="J292" i="6"/>
  <c r="K292" i="6"/>
  <c r="H293" i="6"/>
  <c r="J293" i="6"/>
  <c r="K293" i="6"/>
  <c r="H294" i="6"/>
  <c r="J294" i="6"/>
  <c r="K294" i="6"/>
  <c r="H295" i="6"/>
  <c r="J295" i="6"/>
  <c r="K295" i="6"/>
  <c r="H296" i="6"/>
  <c r="J296" i="6"/>
  <c r="K296" i="6"/>
  <c r="H298" i="6"/>
  <c r="J298" i="6"/>
  <c r="K298" i="6"/>
  <c r="H299" i="6"/>
  <c r="J299" i="6"/>
  <c r="K299" i="6"/>
  <c r="H300" i="6"/>
  <c r="J300" i="6"/>
  <c r="K300" i="6"/>
  <c r="H301" i="6"/>
  <c r="J301" i="6"/>
  <c r="K301" i="6"/>
  <c r="H302" i="6"/>
  <c r="J302" i="6"/>
  <c r="K302" i="6"/>
  <c r="H303" i="6"/>
  <c r="J303" i="6"/>
  <c r="K303" i="6"/>
  <c r="H304" i="6"/>
  <c r="J304" i="6"/>
  <c r="K304" i="6"/>
  <c r="H305" i="6"/>
  <c r="J305" i="6"/>
  <c r="K305" i="6"/>
  <c r="H306" i="6"/>
  <c r="J306" i="6"/>
  <c r="K306" i="6"/>
  <c r="H307" i="6"/>
  <c r="J307" i="6"/>
  <c r="K307" i="6"/>
  <c r="H308" i="6"/>
  <c r="J308" i="6"/>
  <c r="K308" i="6"/>
  <c r="H309" i="6"/>
  <c r="J309" i="6"/>
  <c r="K309" i="6"/>
  <c r="H310" i="6"/>
  <c r="J310" i="6"/>
  <c r="K310" i="6"/>
  <c r="H311" i="6"/>
  <c r="J311" i="6"/>
  <c r="K311" i="6"/>
  <c r="H312" i="6"/>
  <c r="J312" i="6"/>
  <c r="K312" i="6"/>
  <c r="H313" i="6"/>
  <c r="J313" i="6"/>
  <c r="K313" i="6"/>
  <c r="H314" i="6"/>
  <c r="J314" i="6"/>
  <c r="K314" i="6"/>
  <c r="H315" i="6"/>
  <c r="J315" i="6"/>
  <c r="K315" i="6"/>
  <c r="H316" i="6"/>
  <c r="J316" i="6"/>
  <c r="K316" i="6"/>
  <c r="H317" i="6"/>
  <c r="J317" i="6"/>
  <c r="K317" i="6"/>
  <c r="H318" i="6"/>
  <c r="J318" i="6"/>
  <c r="K318" i="6"/>
  <c r="H319" i="6"/>
  <c r="J319" i="6"/>
  <c r="K319" i="6"/>
  <c r="H320" i="6"/>
  <c r="J320" i="6"/>
  <c r="K320" i="6"/>
  <c r="H321" i="6"/>
  <c r="J321" i="6"/>
  <c r="K321" i="6"/>
  <c r="H322" i="6"/>
  <c r="J322" i="6"/>
  <c r="K322" i="6"/>
  <c r="H323" i="6"/>
  <c r="J323" i="6"/>
  <c r="K323" i="6"/>
  <c r="H324" i="6"/>
  <c r="J324" i="6"/>
  <c r="K324" i="6"/>
  <c r="H325" i="6"/>
  <c r="J325" i="6"/>
  <c r="K325" i="6"/>
  <c r="H326" i="6"/>
  <c r="J326" i="6"/>
  <c r="K326" i="6"/>
  <c r="H327" i="6"/>
  <c r="J327" i="6"/>
  <c r="K327" i="6"/>
  <c r="H328" i="6"/>
  <c r="J328" i="6"/>
  <c r="K328" i="6"/>
  <c r="H329" i="6"/>
  <c r="J329" i="6"/>
  <c r="K329" i="6"/>
  <c r="H330" i="6"/>
  <c r="J330" i="6"/>
  <c r="K330" i="6"/>
  <c r="H331" i="6"/>
  <c r="J331" i="6"/>
  <c r="K331" i="6"/>
  <c r="H332" i="6"/>
  <c r="J332" i="6"/>
  <c r="K332" i="6"/>
  <c r="H333" i="6"/>
  <c r="J333" i="6"/>
  <c r="K333" i="6"/>
  <c r="H334" i="6"/>
  <c r="J334" i="6"/>
  <c r="K334" i="6"/>
  <c r="H335" i="6"/>
  <c r="J335" i="6"/>
  <c r="K335" i="6"/>
  <c r="H336" i="6"/>
  <c r="J336" i="6"/>
  <c r="K336" i="6"/>
  <c r="H337" i="6"/>
  <c r="J337" i="6"/>
  <c r="K337" i="6"/>
  <c r="H338" i="6"/>
  <c r="J338" i="6"/>
  <c r="K338" i="6"/>
  <c r="H339" i="6"/>
  <c r="J339" i="6"/>
  <c r="K339" i="6"/>
  <c r="H340" i="6"/>
  <c r="J340" i="6"/>
  <c r="K340" i="6"/>
  <c r="H341" i="6"/>
  <c r="J341" i="6"/>
  <c r="K341" i="6"/>
  <c r="H342" i="6"/>
  <c r="J342" i="6"/>
  <c r="K342" i="6"/>
  <c r="H343" i="6"/>
  <c r="J343" i="6"/>
  <c r="K343" i="6"/>
  <c r="H344" i="6"/>
  <c r="J344" i="6"/>
  <c r="K344" i="6"/>
  <c r="H345" i="6"/>
  <c r="J345" i="6"/>
  <c r="K345" i="6"/>
  <c r="H346" i="6"/>
  <c r="J346" i="6"/>
  <c r="K346" i="6"/>
  <c r="H347" i="6"/>
  <c r="J347" i="6"/>
  <c r="K347" i="6"/>
  <c r="H348" i="6"/>
  <c r="J348" i="6"/>
  <c r="K348" i="6"/>
  <c r="H349" i="6"/>
  <c r="J349" i="6"/>
  <c r="K349" i="6"/>
  <c r="H350" i="6"/>
  <c r="J350" i="6"/>
  <c r="K350" i="6"/>
  <c r="H351" i="6"/>
  <c r="J351" i="6"/>
  <c r="K351" i="6"/>
  <c r="H352" i="6"/>
  <c r="J352" i="6"/>
  <c r="K352" i="6"/>
  <c r="H353" i="6"/>
  <c r="J353" i="6"/>
  <c r="K353" i="6"/>
  <c r="H354" i="6"/>
  <c r="J354" i="6"/>
  <c r="K354" i="6"/>
  <c r="H355" i="6"/>
  <c r="J355" i="6"/>
  <c r="K355" i="6"/>
  <c r="H356" i="6"/>
  <c r="J356" i="6"/>
  <c r="K356" i="6"/>
  <c r="H357" i="6"/>
  <c r="J357" i="6"/>
  <c r="K357" i="6"/>
  <c r="H358" i="6"/>
  <c r="J358" i="6"/>
  <c r="K358" i="6"/>
  <c r="H359" i="6"/>
  <c r="J359" i="6"/>
  <c r="K359" i="6"/>
  <c r="H360" i="6"/>
  <c r="J360" i="6"/>
  <c r="K360" i="6"/>
  <c r="H362" i="6"/>
  <c r="J362" i="6"/>
  <c r="K362" i="6"/>
  <c r="H363" i="6"/>
  <c r="J363" i="6"/>
  <c r="K363" i="6"/>
  <c r="H364" i="6"/>
  <c r="J364" i="6"/>
  <c r="K364" i="6"/>
  <c r="H365" i="6"/>
  <c r="J365" i="6"/>
  <c r="K365" i="6"/>
  <c r="H366" i="6"/>
  <c r="J366" i="6"/>
  <c r="K366" i="6"/>
  <c r="H367" i="6"/>
  <c r="J367" i="6"/>
  <c r="K367" i="6"/>
  <c r="H368" i="6"/>
  <c r="J368" i="6"/>
  <c r="K368" i="6"/>
  <c r="H369" i="6"/>
  <c r="J369" i="6"/>
  <c r="K369" i="6"/>
  <c r="H370" i="6"/>
  <c r="J370" i="6"/>
  <c r="K370" i="6"/>
  <c r="H371" i="6"/>
  <c r="J371" i="6"/>
  <c r="K371" i="6"/>
  <c r="H372" i="6"/>
  <c r="J372" i="6"/>
  <c r="K372" i="6"/>
  <c r="H373" i="6"/>
  <c r="J373" i="6"/>
  <c r="K373" i="6"/>
  <c r="H374" i="6"/>
  <c r="J374" i="6"/>
  <c r="K374" i="6"/>
  <c r="H375" i="6"/>
  <c r="J375" i="6"/>
  <c r="K375" i="6"/>
  <c r="H376" i="6"/>
  <c r="J376" i="6"/>
  <c r="K376" i="6"/>
  <c r="H377" i="6"/>
  <c r="J377" i="6"/>
  <c r="K377" i="6"/>
  <c r="H378" i="6"/>
  <c r="J378" i="6"/>
  <c r="K378" i="6"/>
  <c r="H379" i="6"/>
  <c r="J379" i="6"/>
  <c r="K379" i="6"/>
  <c r="H380" i="6"/>
  <c r="J380" i="6"/>
  <c r="K380" i="6"/>
  <c r="H381" i="6"/>
  <c r="J381" i="6"/>
  <c r="K381" i="6"/>
  <c r="H382" i="6"/>
  <c r="J382" i="6"/>
  <c r="K382" i="6"/>
  <c r="H383" i="6"/>
  <c r="J383" i="6"/>
  <c r="K383" i="6"/>
  <c r="H384" i="6"/>
  <c r="J384" i="6"/>
  <c r="K384" i="6"/>
  <c r="H385" i="6"/>
  <c r="J385" i="6"/>
  <c r="K385" i="6"/>
  <c r="H386" i="6"/>
  <c r="J386" i="6"/>
  <c r="K386" i="6"/>
  <c r="H387" i="6"/>
  <c r="J387" i="6"/>
  <c r="K387" i="6"/>
  <c r="H388" i="6"/>
  <c r="J388" i="6"/>
  <c r="K388" i="6"/>
  <c r="H389" i="6"/>
  <c r="J389" i="6"/>
  <c r="K389" i="6"/>
  <c r="H390" i="6"/>
  <c r="J390" i="6"/>
  <c r="K390" i="6"/>
  <c r="H391" i="6"/>
  <c r="J391" i="6"/>
  <c r="K391" i="6"/>
  <c r="H392" i="6"/>
  <c r="J392" i="6"/>
  <c r="K392" i="6"/>
  <c r="H393" i="6"/>
  <c r="J393" i="6"/>
  <c r="K393" i="6"/>
  <c r="H394" i="6"/>
  <c r="J394" i="6"/>
  <c r="K394" i="6"/>
  <c r="H395" i="6"/>
  <c r="J395" i="6"/>
  <c r="K395" i="6"/>
  <c r="H396" i="6"/>
  <c r="J396" i="6"/>
  <c r="K396" i="6"/>
  <c r="H397" i="6"/>
  <c r="J397" i="6"/>
  <c r="K397" i="6"/>
  <c r="H398" i="6"/>
  <c r="J398" i="6"/>
  <c r="K398" i="6"/>
  <c r="H399" i="6"/>
  <c r="J399" i="6"/>
  <c r="K399" i="6"/>
  <c r="H400" i="6"/>
  <c r="J400" i="6"/>
  <c r="K400" i="6"/>
  <c r="H401" i="6"/>
  <c r="J401" i="6"/>
  <c r="K401" i="6"/>
  <c r="H402" i="6"/>
  <c r="J402" i="6"/>
  <c r="K402" i="6"/>
  <c r="H403" i="6"/>
  <c r="J403" i="6"/>
  <c r="K403" i="6"/>
  <c r="H404" i="6"/>
  <c r="J404" i="6"/>
  <c r="K404" i="6"/>
  <c r="H405" i="6"/>
  <c r="J405" i="6"/>
  <c r="K405" i="6"/>
  <c r="H406" i="6"/>
  <c r="J406" i="6"/>
  <c r="K406" i="6"/>
  <c r="H408" i="6"/>
  <c r="J408" i="6"/>
  <c r="K408" i="6"/>
  <c r="H409" i="6"/>
  <c r="J409" i="6"/>
  <c r="K409" i="6"/>
  <c r="H410" i="6"/>
  <c r="J410" i="6"/>
  <c r="K410" i="6"/>
  <c r="H411" i="6"/>
  <c r="J411" i="6"/>
  <c r="K411" i="6"/>
  <c r="H412" i="6"/>
  <c r="J412" i="6"/>
  <c r="K412" i="6"/>
  <c r="H413" i="6"/>
  <c r="J413" i="6"/>
  <c r="K413" i="6"/>
  <c r="H414" i="6"/>
  <c r="J414" i="6"/>
  <c r="K414" i="6"/>
  <c r="H415" i="6"/>
  <c r="J415" i="6"/>
  <c r="K415" i="6"/>
  <c r="H416" i="6"/>
  <c r="J416" i="6"/>
  <c r="K416" i="6"/>
  <c r="H417" i="6"/>
  <c r="J417" i="6"/>
  <c r="K417" i="6"/>
  <c r="H418" i="6"/>
  <c r="J418" i="6"/>
  <c r="K418" i="6"/>
  <c r="H419" i="6"/>
  <c r="J419" i="6"/>
  <c r="K419" i="6"/>
  <c r="H420" i="6"/>
  <c r="J420" i="6"/>
  <c r="K420" i="6"/>
  <c r="H421" i="6"/>
  <c r="J421" i="6"/>
  <c r="K421" i="6"/>
  <c r="H422" i="6"/>
  <c r="J422" i="6"/>
  <c r="K422" i="6"/>
  <c r="H423" i="6"/>
  <c r="J423" i="6"/>
  <c r="K423" i="6"/>
  <c r="H424" i="6"/>
  <c r="J424" i="6"/>
  <c r="K424" i="6"/>
  <c r="H426" i="6"/>
  <c r="J426" i="6"/>
  <c r="K426" i="6"/>
  <c r="H427" i="6"/>
  <c r="J427" i="6"/>
  <c r="K427" i="6"/>
  <c r="H428" i="6"/>
  <c r="J428" i="6"/>
  <c r="K428" i="6"/>
  <c r="H429" i="6"/>
  <c r="J429" i="6"/>
  <c r="K429" i="6"/>
  <c r="H161" i="6"/>
  <c r="J161" i="6"/>
  <c r="K161" i="6"/>
  <c r="H160" i="6"/>
  <c r="J160" i="6"/>
  <c r="K160" i="6"/>
  <c r="H141" i="4"/>
  <c r="J141" i="4"/>
  <c r="K141" i="4"/>
  <c r="H142" i="4"/>
  <c r="J142" i="4"/>
  <c r="K142" i="4"/>
  <c r="H143" i="4"/>
  <c r="J143" i="4"/>
  <c r="K143" i="4"/>
  <c r="H144" i="4"/>
  <c r="J144" i="4"/>
  <c r="K144" i="4"/>
  <c r="H145" i="4"/>
  <c r="J145" i="4"/>
  <c r="K145" i="4"/>
  <c r="H146" i="4"/>
  <c r="J146" i="4"/>
  <c r="K146" i="4"/>
  <c r="H147" i="4"/>
  <c r="J147" i="4"/>
  <c r="K147" i="4"/>
  <c r="H148" i="4"/>
  <c r="J148" i="4"/>
  <c r="K148" i="4"/>
  <c r="H149" i="4"/>
  <c r="J149" i="4"/>
  <c r="K149" i="4"/>
  <c r="H150" i="4"/>
  <c r="J150" i="4"/>
  <c r="K150" i="4"/>
  <c r="H151" i="4"/>
  <c r="J151" i="4"/>
  <c r="K151" i="4"/>
  <c r="H152" i="4"/>
  <c r="J152" i="4"/>
  <c r="K152" i="4"/>
  <c r="H153" i="4"/>
  <c r="J153" i="4"/>
  <c r="K153" i="4"/>
  <c r="H154" i="4"/>
  <c r="J154" i="4"/>
  <c r="K154" i="4"/>
  <c r="H155" i="4"/>
  <c r="J155" i="4"/>
  <c r="K155" i="4"/>
  <c r="H156" i="4"/>
  <c r="J156" i="4"/>
  <c r="K156" i="4"/>
  <c r="H157" i="4"/>
  <c r="J157" i="4"/>
  <c r="K157" i="4"/>
  <c r="H158" i="4"/>
  <c r="J158" i="4"/>
  <c r="K158" i="4"/>
  <c r="H159" i="4"/>
  <c r="J159" i="4"/>
  <c r="K159" i="4"/>
  <c r="H160" i="4"/>
  <c r="J160" i="4"/>
  <c r="K160" i="4"/>
  <c r="H161" i="4"/>
  <c r="J161" i="4"/>
  <c r="K161" i="4"/>
  <c r="H162" i="4"/>
  <c r="J162" i="4"/>
  <c r="K162" i="4"/>
  <c r="H163" i="4"/>
  <c r="J163" i="4"/>
  <c r="K163" i="4"/>
  <c r="H164" i="4"/>
  <c r="J164" i="4"/>
  <c r="K164" i="4"/>
  <c r="H165" i="4"/>
  <c r="J165" i="4"/>
  <c r="K165" i="4"/>
  <c r="H166" i="4"/>
  <c r="J166" i="4"/>
  <c r="K166" i="4"/>
  <c r="H167" i="4"/>
  <c r="J167" i="4"/>
  <c r="K167" i="4"/>
  <c r="H168" i="4"/>
  <c r="J168" i="4"/>
  <c r="K168" i="4"/>
  <c r="H169" i="4"/>
  <c r="J169" i="4"/>
  <c r="K169" i="4"/>
  <c r="H170" i="4"/>
  <c r="J170" i="4"/>
  <c r="K170" i="4"/>
  <c r="H171" i="4"/>
  <c r="J171" i="4"/>
  <c r="K171" i="4"/>
  <c r="H172" i="4"/>
  <c r="J172" i="4"/>
  <c r="K172" i="4"/>
  <c r="H173" i="4"/>
  <c r="J173" i="4"/>
  <c r="K173" i="4"/>
  <c r="H174" i="4"/>
  <c r="J174" i="4"/>
  <c r="K174" i="4"/>
  <c r="H175" i="4"/>
  <c r="J175" i="4"/>
  <c r="K175" i="4"/>
  <c r="H176" i="4"/>
  <c r="J176" i="4"/>
  <c r="K176" i="4"/>
  <c r="H177" i="4"/>
  <c r="J177" i="4"/>
  <c r="K177" i="4"/>
  <c r="H178" i="4"/>
  <c r="J178" i="4"/>
  <c r="K178" i="4"/>
  <c r="H179" i="4"/>
  <c r="J179" i="4"/>
  <c r="K179" i="4"/>
  <c r="H180" i="4"/>
  <c r="J180" i="4"/>
  <c r="K180" i="4"/>
  <c r="H181" i="4"/>
  <c r="J181" i="4"/>
  <c r="K181" i="4"/>
  <c r="H182" i="4"/>
  <c r="J182" i="4"/>
  <c r="K182" i="4"/>
  <c r="H183" i="4"/>
  <c r="J183" i="4"/>
  <c r="K183" i="4"/>
  <c r="H184" i="4"/>
  <c r="J184" i="4"/>
  <c r="K184" i="4"/>
  <c r="H185" i="4"/>
  <c r="J185" i="4"/>
  <c r="K185" i="4"/>
  <c r="H186" i="4"/>
  <c r="J186" i="4"/>
  <c r="K186" i="4"/>
  <c r="H187" i="4"/>
  <c r="J187" i="4"/>
  <c r="K187" i="4"/>
  <c r="H188" i="4"/>
  <c r="J188" i="4"/>
  <c r="K188" i="4"/>
  <c r="H189" i="4"/>
  <c r="J189" i="4"/>
  <c r="K189" i="4"/>
  <c r="H190" i="4"/>
  <c r="J190" i="4"/>
  <c r="K190" i="4"/>
  <c r="H191" i="4"/>
  <c r="J191" i="4"/>
  <c r="K191" i="4"/>
  <c r="H192" i="4"/>
  <c r="J192" i="4"/>
  <c r="K192" i="4"/>
  <c r="H193" i="4"/>
  <c r="J193" i="4"/>
  <c r="K193" i="4"/>
  <c r="H194" i="4"/>
  <c r="J194" i="4"/>
  <c r="K194" i="4"/>
  <c r="H195" i="4"/>
  <c r="J195" i="4"/>
  <c r="K195" i="4"/>
  <c r="H196" i="4"/>
  <c r="J196" i="4"/>
  <c r="K196" i="4"/>
  <c r="H197" i="4"/>
  <c r="J197" i="4"/>
  <c r="K197" i="4"/>
  <c r="H198" i="4"/>
  <c r="J198" i="4"/>
  <c r="K198" i="4"/>
  <c r="H199" i="4"/>
  <c r="J199" i="4"/>
  <c r="K199" i="4"/>
  <c r="H200" i="4"/>
  <c r="J200" i="4"/>
  <c r="K200" i="4"/>
  <c r="H201" i="4"/>
  <c r="J201" i="4"/>
  <c r="K201" i="4"/>
  <c r="H202" i="4"/>
  <c r="J202" i="4"/>
  <c r="K202" i="4"/>
  <c r="H203" i="4"/>
  <c r="J203" i="4"/>
  <c r="K203" i="4"/>
  <c r="H204" i="4"/>
  <c r="J204" i="4"/>
  <c r="K204" i="4"/>
  <c r="H205" i="4"/>
  <c r="J205" i="4"/>
  <c r="K205" i="4"/>
  <c r="H206" i="4"/>
  <c r="J206" i="4"/>
  <c r="K206" i="4"/>
  <c r="H207" i="4"/>
  <c r="J207" i="4"/>
  <c r="K207" i="4"/>
  <c r="H208" i="4"/>
  <c r="J208" i="4"/>
  <c r="K208" i="4"/>
  <c r="H209" i="4"/>
  <c r="J209" i="4"/>
  <c r="K209" i="4"/>
  <c r="H210" i="4"/>
  <c r="J210" i="4"/>
  <c r="K210" i="4"/>
  <c r="H211" i="4"/>
  <c r="J211" i="4"/>
  <c r="K211" i="4"/>
  <c r="H212" i="4"/>
  <c r="J212" i="4"/>
  <c r="K212" i="4"/>
  <c r="H213" i="4"/>
  <c r="J213" i="4"/>
  <c r="K213" i="4"/>
  <c r="H214" i="4"/>
  <c r="J214" i="4"/>
  <c r="K214" i="4"/>
  <c r="H215" i="4"/>
  <c r="J215" i="4"/>
  <c r="K215" i="4"/>
  <c r="H216" i="4"/>
  <c r="J216" i="4"/>
  <c r="K216" i="4"/>
  <c r="H217" i="4"/>
  <c r="J217" i="4"/>
  <c r="K217" i="4"/>
  <c r="H218" i="4"/>
  <c r="J218" i="4"/>
  <c r="K218" i="4"/>
  <c r="H219" i="4"/>
  <c r="J219" i="4"/>
  <c r="K219" i="4"/>
  <c r="H220" i="4"/>
  <c r="J220" i="4"/>
  <c r="K220" i="4"/>
  <c r="H221" i="4"/>
  <c r="J221" i="4"/>
  <c r="K221" i="4"/>
  <c r="H222" i="4"/>
  <c r="J222" i="4"/>
  <c r="K222" i="4"/>
  <c r="H223" i="4"/>
  <c r="J223" i="4"/>
  <c r="K223" i="4"/>
  <c r="H224" i="4"/>
  <c r="J224" i="4"/>
  <c r="K224" i="4"/>
  <c r="H225" i="4"/>
  <c r="J225" i="4"/>
  <c r="K225" i="4"/>
  <c r="H226" i="4"/>
  <c r="J226" i="4"/>
  <c r="K226" i="4"/>
  <c r="H227" i="4"/>
  <c r="J227" i="4"/>
  <c r="K227" i="4"/>
  <c r="H228" i="4"/>
  <c r="J228" i="4"/>
  <c r="K228" i="4"/>
  <c r="H229" i="4"/>
  <c r="J229" i="4"/>
  <c r="K229" i="4"/>
  <c r="H230" i="4"/>
  <c r="J230" i="4"/>
  <c r="K230" i="4"/>
  <c r="H231" i="4"/>
  <c r="J231" i="4"/>
  <c r="K231" i="4"/>
  <c r="H232" i="4"/>
  <c r="J232" i="4"/>
  <c r="K232" i="4"/>
  <c r="H233" i="4"/>
  <c r="J233" i="4"/>
  <c r="K233" i="4"/>
  <c r="H234" i="4"/>
  <c r="J234" i="4"/>
  <c r="K234" i="4"/>
  <c r="H235" i="4"/>
  <c r="J235" i="4"/>
  <c r="K235" i="4"/>
  <c r="H236" i="4"/>
  <c r="J236" i="4"/>
  <c r="K236" i="4"/>
  <c r="H237" i="4"/>
  <c r="J237" i="4"/>
  <c r="K237" i="4"/>
  <c r="H238" i="4"/>
  <c r="J238" i="4"/>
  <c r="K238" i="4"/>
  <c r="H239" i="4"/>
  <c r="J239" i="4"/>
  <c r="K239" i="4"/>
  <c r="H240" i="4"/>
  <c r="J240" i="4"/>
  <c r="K240" i="4"/>
  <c r="H241" i="4"/>
  <c r="J241" i="4"/>
  <c r="K241" i="4"/>
  <c r="H242" i="4"/>
  <c r="J242" i="4"/>
  <c r="K242" i="4"/>
  <c r="H243" i="4"/>
  <c r="J243" i="4"/>
  <c r="K243" i="4"/>
  <c r="H244" i="4"/>
  <c r="J244" i="4"/>
  <c r="K244" i="4"/>
  <c r="H245" i="4"/>
  <c r="J245" i="4"/>
  <c r="K245" i="4"/>
  <c r="H246" i="4"/>
  <c r="J246" i="4"/>
  <c r="K246" i="4"/>
  <c r="H247" i="4"/>
  <c r="J247" i="4"/>
  <c r="K247" i="4"/>
  <c r="H248" i="4"/>
  <c r="J248" i="4"/>
  <c r="K248" i="4"/>
  <c r="H249" i="4"/>
  <c r="J249" i="4"/>
  <c r="K249" i="4"/>
  <c r="H250" i="4"/>
  <c r="J250" i="4"/>
  <c r="K250" i="4"/>
  <c r="H251" i="4"/>
  <c r="J251" i="4"/>
  <c r="K251" i="4"/>
  <c r="H252" i="4"/>
  <c r="J252" i="4"/>
  <c r="K252" i="4"/>
  <c r="H253" i="4"/>
  <c r="J253" i="4"/>
  <c r="K253" i="4"/>
  <c r="H254" i="4"/>
  <c r="J254" i="4"/>
  <c r="K254" i="4"/>
  <c r="H255" i="4"/>
  <c r="J255" i="4"/>
  <c r="K255" i="4"/>
  <c r="H256" i="4"/>
  <c r="J256" i="4"/>
  <c r="K256" i="4"/>
  <c r="H257" i="4"/>
  <c r="J257" i="4"/>
  <c r="K257" i="4"/>
  <c r="H258" i="4"/>
  <c r="J258" i="4"/>
  <c r="K258" i="4"/>
  <c r="H259" i="4"/>
  <c r="J259" i="4"/>
  <c r="K259" i="4"/>
  <c r="H260" i="4"/>
  <c r="J260" i="4"/>
  <c r="K260" i="4"/>
  <c r="H261" i="4"/>
  <c r="J261" i="4"/>
  <c r="K261" i="4"/>
  <c r="H262" i="4"/>
  <c r="J262" i="4"/>
  <c r="K262" i="4"/>
  <c r="H263" i="4"/>
  <c r="J263" i="4"/>
  <c r="K263" i="4"/>
  <c r="H264" i="4"/>
  <c r="J264" i="4"/>
  <c r="K264" i="4"/>
  <c r="H265" i="4"/>
  <c r="J265" i="4"/>
  <c r="K265" i="4"/>
  <c r="H266" i="4"/>
  <c r="J266" i="4"/>
  <c r="K266" i="4"/>
  <c r="H267" i="4"/>
  <c r="J267" i="4"/>
  <c r="K267" i="4"/>
  <c r="H268" i="4"/>
  <c r="J268" i="4"/>
  <c r="K268" i="4"/>
  <c r="H269" i="4"/>
  <c r="J269" i="4"/>
  <c r="K269" i="4"/>
  <c r="H270" i="4"/>
  <c r="J270" i="4"/>
  <c r="K270" i="4"/>
  <c r="H271" i="4"/>
  <c r="J271" i="4"/>
  <c r="K271" i="4"/>
  <c r="H272" i="4"/>
  <c r="J272" i="4"/>
  <c r="K272" i="4"/>
  <c r="H273" i="4"/>
  <c r="J273" i="4"/>
  <c r="K273" i="4"/>
  <c r="H274" i="4"/>
  <c r="J274" i="4"/>
  <c r="K274" i="4"/>
  <c r="H275" i="4"/>
  <c r="J275" i="4"/>
  <c r="K275" i="4"/>
  <c r="H276" i="4"/>
  <c r="J276" i="4"/>
  <c r="K276" i="4"/>
  <c r="H277" i="4"/>
  <c r="J277" i="4"/>
  <c r="K277" i="4"/>
  <c r="H278" i="4"/>
  <c r="J278" i="4"/>
  <c r="K278" i="4"/>
  <c r="H279" i="4"/>
  <c r="J279" i="4"/>
  <c r="K279" i="4"/>
  <c r="H280" i="4"/>
  <c r="J280" i="4"/>
  <c r="K280" i="4"/>
  <c r="H281" i="4"/>
  <c r="J281" i="4"/>
  <c r="K281" i="4"/>
  <c r="H282" i="4"/>
  <c r="J282" i="4"/>
  <c r="K282" i="4"/>
  <c r="H283" i="4"/>
  <c r="J283" i="4"/>
  <c r="K283" i="4"/>
  <c r="H284" i="4"/>
  <c r="J284" i="4"/>
  <c r="K284" i="4"/>
  <c r="H285" i="4"/>
  <c r="J285" i="4"/>
  <c r="K285" i="4"/>
  <c r="H286" i="4"/>
  <c r="J286" i="4"/>
  <c r="K286" i="4"/>
  <c r="H287" i="4"/>
  <c r="J287" i="4"/>
  <c r="K287" i="4"/>
  <c r="H288" i="4"/>
  <c r="J288" i="4"/>
  <c r="K288" i="4"/>
  <c r="H289" i="4"/>
  <c r="J289" i="4"/>
  <c r="K289" i="4"/>
  <c r="H290" i="4"/>
  <c r="J290" i="4"/>
  <c r="K290" i="4"/>
  <c r="H291" i="4"/>
  <c r="J291" i="4"/>
  <c r="K291" i="4"/>
  <c r="H292" i="4"/>
  <c r="J292" i="4"/>
  <c r="K292" i="4"/>
  <c r="H293" i="4"/>
  <c r="J293" i="4"/>
  <c r="K293" i="4"/>
  <c r="H294" i="4"/>
  <c r="J294" i="4"/>
  <c r="K294" i="4"/>
  <c r="H295" i="4"/>
  <c r="J295" i="4"/>
  <c r="K295" i="4"/>
  <c r="H296" i="4"/>
  <c r="J296" i="4"/>
  <c r="K296" i="4"/>
  <c r="H297" i="4"/>
  <c r="J297" i="4"/>
  <c r="K297" i="4"/>
  <c r="H298" i="4"/>
  <c r="J298" i="4"/>
  <c r="K298" i="4"/>
  <c r="H299" i="4"/>
  <c r="J299" i="4"/>
  <c r="K299" i="4"/>
  <c r="H300" i="4"/>
  <c r="J300" i="4"/>
  <c r="K300" i="4"/>
  <c r="H301" i="4"/>
  <c r="J301" i="4"/>
  <c r="K301" i="4"/>
  <c r="H302" i="4"/>
  <c r="J302" i="4"/>
  <c r="K302" i="4"/>
  <c r="H303" i="4"/>
  <c r="J303" i="4"/>
  <c r="K303" i="4"/>
  <c r="H304" i="4"/>
  <c r="J304" i="4"/>
  <c r="K304" i="4"/>
  <c r="H305" i="4"/>
  <c r="J305" i="4"/>
  <c r="K305" i="4"/>
  <c r="H306" i="4"/>
  <c r="J306" i="4"/>
  <c r="K306" i="4"/>
  <c r="H307" i="4"/>
  <c r="J307" i="4"/>
  <c r="K307" i="4"/>
  <c r="H308" i="4"/>
  <c r="J308" i="4"/>
  <c r="K308" i="4"/>
  <c r="H309" i="4"/>
  <c r="J309" i="4"/>
  <c r="K309" i="4"/>
  <c r="H310" i="4"/>
  <c r="J310" i="4"/>
  <c r="K310" i="4"/>
  <c r="H311" i="4"/>
  <c r="J311" i="4"/>
  <c r="K311" i="4"/>
  <c r="H312" i="4"/>
  <c r="J312" i="4"/>
  <c r="K312" i="4"/>
  <c r="H313" i="4"/>
  <c r="J313" i="4"/>
  <c r="K313" i="4"/>
  <c r="H314" i="4"/>
  <c r="J314" i="4"/>
  <c r="K314" i="4"/>
  <c r="H315" i="4"/>
  <c r="J315" i="4"/>
  <c r="K315" i="4"/>
  <c r="H316" i="4"/>
  <c r="J316" i="4"/>
  <c r="K316" i="4"/>
  <c r="H317" i="4"/>
  <c r="J317" i="4"/>
  <c r="K317" i="4"/>
  <c r="H318" i="4"/>
  <c r="J318" i="4"/>
  <c r="K318" i="4"/>
  <c r="H319" i="4"/>
  <c r="J319" i="4"/>
  <c r="K319" i="4"/>
  <c r="H320" i="4"/>
  <c r="J320" i="4"/>
  <c r="K320" i="4"/>
  <c r="H321" i="4"/>
  <c r="J321" i="4"/>
  <c r="K321" i="4"/>
  <c r="H322" i="4"/>
  <c r="J322" i="4"/>
  <c r="K322" i="4"/>
  <c r="H323" i="4"/>
  <c r="J323" i="4"/>
  <c r="K323" i="4"/>
  <c r="H324" i="4"/>
  <c r="J324" i="4"/>
  <c r="K324" i="4"/>
  <c r="H325" i="4"/>
  <c r="J325" i="4"/>
  <c r="K325" i="4"/>
  <c r="H326" i="4"/>
  <c r="J326" i="4"/>
  <c r="K326" i="4"/>
  <c r="H327" i="4"/>
  <c r="J327" i="4"/>
  <c r="K327" i="4"/>
  <c r="H328" i="4"/>
  <c r="J328" i="4"/>
  <c r="K328" i="4"/>
  <c r="H329" i="4"/>
  <c r="J329" i="4"/>
  <c r="K329" i="4"/>
  <c r="H330" i="4"/>
  <c r="J330" i="4"/>
  <c r="K330" i="4"/>
  <c r="H331" i="4"/>
  <c r="J331" i="4"/>
  <c r="K331" i="4"/>
  <c r="H332" i="4"/>
  <c r="J332" i="4"/>
  <c r="K332" i="4"/>
  <c r="H333" i="4"/>
  <c r="J333" i="4"/>
  <c r="K333" i="4"/>
  <c r="H334" i="4"/>
  <c r="J334" i="4"/>
  <c r="K334" i="4"/>
  <c r="H335" i="4"/>
  <c r="J335" i="4"/>
  <c r="K335" i="4"/>
  <c r="H336" i="4"/>
  <c r="J336" i="4"/>
  <c r="K336" i="4"/>
  <c r="H337" i="4"/>
  <c r="J337" i="4"/>
  <c r="K337" i="4"/>
  <c r="H338" i="4"/>
  <c r="J338" i="4"/>
  <c r="K338" i="4"/>
  <c r="H339" i="4"/>
  <c r="J339" i="4"/>
  <c r="K339" i="4"/>
  <c r="H340" i="4"/>
  <c r="J340" i="4"/>
  <c r="K340" i="4"/>
  <c r="H341" i="4"/>
  <c r="J341" i="4"/>
  <c r="K341" i="4"/>
  <c r="H342" i="4"/>
  <c r="J342" i="4"/>
  <c r="K342" i="4"/>
  <c r="H343" i="4"/>
  <c r="J343" i="4"/>
  <c r="K343" i="4"/>
  <c r="H344" i="4"/>
  <c r="J344" i="4"/>
  <c r="K344" i="4"/>
  <c r="H345" i="4"/>
  <c r="J345" i="4"/>
  <c r="K345" i="4"/>
  <c r="H346" i="4"/>
  <c r="J346" i="4"/>
  <c r="K346" i="4"/>
  <c r="H347" i="4"/>
  <c r="J347" i="4"/>
  <c r="K347" i="4"/>
  <c r="H348" i="4"/>
  <c r="J348" i="4"/>
  <c r="K348" i="4"/>
  <c r="H349" i="4"/>
  <c r="J349" i="4"/>
  <c r="K349" i="4"/>
  <c r="H350" i="4"/>
  <c r="J350" i="4"/>
  <c r="K350" i="4"/>
  <c r="H351" i="4"/>
  <c r="J351" i="4"/>
  <c r="K351" i="4"/>
  <c r="H352" i="4"/>
  <c r="J352" i="4"/>
  <c r="K352" i="4"/>
  <c r="H353" i="4"/>
  <c r="J353" i="4"/>
  <c r="K353" i="4"/>
  <c r="H354" i="4"/>
  <c r="J354" i="4"/>
  <c r="K354" i="4"/>
  <c r="H355" i="4"/>
  <c r="J355" i="4"/>
  <c r="K355" i="4"/>
  <c r="H356" i="4"/>
  <c r="J356" i="4"/>
  <c r="K356" i="4"/>
  <c r="H357" i="4"/>
  <c r="J357" i="4"/>
  <c r="K357" i="4"/>
  <c r="H358" i="4"/>
  <c r="J358" i="4"/>
  <c r="K358" i="4"/>
  <c r="H359" i="4"/>
  <c r="J359" i="4"/>
  <c r="K359" i="4"/>
  <c r="H360" i="4"/>
  <c r="J360" i="4"/>
  <c r="K360" i="4"/>
  <c r="H361" i="4"/>
  <c r="J361" i="4"/>
  <c r="K361" i="4"/>
  <c r="H362" i="4"/>
  <c r="J362" i="4"/>
  <c r="K362" i="4"/>
  <c r="H363" i="4"/>
  <c r="J363" i="4"/>
  <c r="K363" i="4"/>
  <c r="H364" i="4"/>
  <c r="J364" i="4"/>
  <c r="K364" i="4"/>
  <c r="H365" i="4"/>
  <c r="J365" i="4"/>
  <c r="K365" i="4"/>
  <c r="H366" i="4"/>
  <c r="J366" i="4"/>
  <c r="K366" i="4"/>
  <c r="H367" i="4"/>
  <c r="J367" i="4"/>
  <c r="K367" i="4"/>
  <c r="H368" i="4"/>
  <c r="J368" i="4"/>
  <c r="K368" i="4"/>
  <c r="H369" i="4"/>
  <c r="J369" i="4"/>
  <c r="K369" i="4"/>
  <c r="H370" i="4"/>
  <c r="J370" i="4"/>
  <c r="K370" i="4"/>
  <c r="H371" i="4"/>
  <c r="J371" i="4"/>
  <c r="K371" i="4"/>
  <c r="H372" i="4"/>
  <c r="J372" i="4"/>
  <c r="K372" i="4"/>
  <c r="H373" i="4"/>
  <c r="J373" i="4"/>
  <c r="K373" i="4"/>
  <c r="H374" i="4"/>
  <c r="J374" i="4"/>
  <c r="K374" i="4"/>
  <c r="H375" i="4"/>
  <c r="J375" i="4"/>
  <c r="K375" i="4"/>
  <c r="H376" i="4"/>
  <c r="J376" i="4"/>
  <c r="K376" i="4"/>
  <c r="H377" i="4"/>
  <c r="J377" i="4"/>
  <c r="K377" i="4"/>
  <c r="H378" i="4"/>
  <c r="J378" i="4"/>
  <c r="K378" i="4"/>
  <c r="H379" i="4"/>
  <c r="J379" i="4"/>
  <c r="K379" i="4"/>
  <c r="H380" i="4"/>
  <c r="J380" i="4"/>
  <c r="K380" i="4"/>
  <c r="H381" i="4"/>
  <c r="J381" i="4"/>
  <c r="K381" i="4"/>
  <c r="H382" i="4"/>
  <c r="J382" i="4"/>
  <c r="K382" i="4"/>
  <c r="H383" i="4"/>
  <c r="J383" i="4"/>
  <c r="K383" i="4"/>
  <c r="H384" i="4"/>
  <c r="J384" i="4"/>
  <c r="K384" i="4"/>
  <c r="H385" i="4"/>
  <c r="J385" i="4"/>
  <c r="K385" i="4"/>
  <c r="H386" i="4"/>
  <c r="J386" i="4"/>
  <c r="K386" i="4"/>
  <c r="H387" i="4"/>
  <c r="J387" i="4"/>
  <c r="K387" i="4"/>
  <c r="H388" i="4"/>
  <c r="J388" i="4"/>
  <c r="K388" i="4"/>
  <c r="H389" i="4"/>
  <c r="J389" i="4"/>
  <c r="K389" i="4"/>
  <c r="H390" i="4"/>
  <c r="J390" i="4"/>
  <c r="K390" i="4"/>
  <c r="H391" i="4"/>
  <c r="J391" i="4"/>
  <c r="K391" i="4"/>
  <c r="H392" i="4"/>
  <c r="J392" i="4"/>
  <c r="K392" i="4"/>
  <c r="H393" i="4"/>
  <c r="J393" i="4"/>
  <c r="K393" i="4"/>
  <c r="H394" i="4"/>
  <c r="J394" i="4"/>
  <c r="K394" i="4"/>
  <c r="H395" i="4"/>
  <c r="J395" i="4"/>
  <c r="K395" i="4"/>
  <c r="H396" i="4"/>
  <c r="J396" i="4"/>
  <c r="K396" i="4"/>
  <c r="H397" i="4"/>
  <c r="J397" i="4"/>
  <c r="K397" i="4"/>
  <c r="H398" i="4"/>
  <c r="J398" i="4"/>
  <c r="K398" i="4"/>
  <c r="H399" i="4"/>
  <c r="J399" i="4"/>
  <c r="K399" i="4"/>
  <c r="H400" i="4"/>
  <c r="J400" i="4"/>
  <c r="K400" i="4"/>
  <c r="H401" i="4"/>
  <c r="J401" i="4"/>
  <c r="K401" i="4"/>
  <c r="H402" i="4"/>
  <c r="J402" i="4"/>
  <c r="K402" i="4"/>
  <c r="H403" i="4"/>
  <c r="J403" i="4"/>
  <c r="K403" i="4"/>
  <c r="H404" i="4"/>
  <c r="J404" i="4"/>
  <c r="K404" i="4"/>
  <c r="H405" i="4"/>
  <c r="J405" i="4"/>
  <c r="K405" i="4"/>
  <c r="H406" i="4"/>
  <c r="J406" i="4"/>
  <c r="K406" i="4"/>
  <c r="H407" i="4"/>
  <c r="J407" i="4"/>
  <c r="K407" i="4"/>
  <c r="H408" i="4"/>
  <c r="J408" i="4"/>
  <c r="K408" i="4"/>
  <c r="H409" i="4"/>
  <c r="J409" i="4"/>
  <c r="K409" i="4"/>
  <c r="H140" i="4"/>
  <c r="J140" i="4"/>
  <c r="K140" i="4"/>
  <c r="H139" i="4"/>
  <c r="J139" i="4"/>
  <c r="K139" i="4"/>
  <c r="K146" i="2"/>
  <c r="K175" i="2"/>
  <c r="K256" i="2"/>
  <c r="H141" i="2"/>
  <c r="J141" i="2"/>
  <c r="K141" i="2"/>
  <c r="H142" i="2"/>
  <c r="J142" i="2"/>
  <c r="K142" i="2"/>
  <c r="H143" i="2"/>
  <c r="J143" i="2"/>
  <c r="K143" i="2"/>
  <c r="H144" i="2"/>
  <c r="J144" i="2"/>
  <c r="K144" i="2"/>
  <c r="H145" i="2"/>
  <c r="J145" i="2"/>
  <c r="K145" i="2"/>
  <c r="H147" i="2"/>
  <c r="J147" i="2"/>
  <c r="K147" i="2"/>
  <c r="H148" i="2"/>
  <c r="J148" i="2"/>
  <c r="K148" i="2"/>
  <c r="H149" i="2"/>
  <c r="J149" i="2"/>
  <c r="K149" i="2"/>
  <c r="H150" i="2"/>
  <c r="J150" i="2"/>
  <c r="K150" i="2"/>
  <c r="H151" i="2"/>
  <c r="J151" i="2"/>
  <c r="K151" i="2"/>
  <c r="H152" i="2"/>
  <c r="J152" i="2"/>
  <c r="K152" i="2"/>
  <c r="H153" i="2"/>
  <c r="J153" i="2"/>
  <c r="K153" i="2"/>
  <c r="H154" i="2"/>
  <c r="J154" i="2"/>
  <c r="K154" i="2"/>
  <c r="H155" i="2"/>
  <c r="J155" i="2"/>
  <c r="K155" i="2"/>
  <c r="H156" i="2"/>
  <c r="J156" i="2"/>
  <c r="K156" i="2"/>
  <c r="H157" i="2"/>
  <c r="J157" i="2"/>
  <c r="K157" i="2"/>
  <c r="H158" i="2"/>
  <c r="J158" i="2"/>
  <c r="K158" i="2"/>
  <c r="H159" i="2"/>
  <c r="J159" i="2"/>
  <c r="K159" i="2"/>
  <c r="H160" i="2"/>
  <c r="J160" i="2"/>
  <c r="K160" i="2"/>
  <c r="H161" i="2"/>
  <c r="J161" i="2"/>
  <c r="K161" i="2"/>
  <c r="H162" i="2"/>
  <c r="J162" i="2"/>
  <c r="K162" i="2"/>
  <c r="H163" i="2"/>
  <c r="J163" i="2"/>
  <c r="K163" i="2"/>
  <c r="H164" i="2"/>
  <c r="J164" i="2"/>
  <c r="K164" i="2"/>
  <c r="H165" i="2"/>
  <c r="J165" i="2"/>
  <c r="K165" i="2"/>
  <c r="H166" i="2"/>
  <c r="J166" i="2"/>
  <c r="K166" i="2"/>
  <c r="H167" i="2"/>
  <c r="J167" i="2"/>
  <c r="K167" i="2"/>
  <c r="H168" i="2"/>
  <c r="J168" i="2"/>
  <c r="K168" i="2"/>
  <c r="H169" i="2"/>
  <c r="J169" i="2"/>
  <c r="K169" i="2"/>
  <c r="H170" i="2"/>
  <c r="J170" i="2"/>
  <c r="K170" i="2"/>
  <c r="H171" i="2"/>
  <c r="J171" i="2"/>
  <c r="K171" i="2"/>
  <c r="H172" i="2"/>
  <c r="J172" i="2"/>
  <c r="K172" i="2"/>
  <c r="H173" i="2"/>
  <c r="J173" i="2"/>
  <c r="K173" i="2"/>
  <c r="H174" i="2"/>
  <c r="J174" i="2"/>
  <c r="K174" i="2"/>
  <c r="H176" i="2"/>
  <c r="J176" i="2"/>
  <c r="K176" i="2"/>
  <c r="H177" i="2"/>
  <c r="J177" i="2"/>
  <c r="K177" i="2"/>
  <c r="H178" i="2"/>
  <c r="J178" i="2"/>
  <c r="K178" i="2"/>
  <c r="H179" i="2"/>
  <c r="J179" i="2"/>
  <c r="K179" i="2"/>
  <c r="H180" i="2"/>
  <c r="J180" i="2"/>
  <c r="K180" i="2"/>
  <c r="H181" i="2"/>
  <c r="J181" i="2"/>
  <c r="K181" i="2"/>
  <c r="H182" i="2"/>
  <c r="J182" i="2"/>
  <c r="K182" i="2"/>
  <c r="H183" i="2"/>
  <c r="J183" i="2"/>
  <c r="K183" i="2"/>
  <c r="H184" i="2"/>
  <c r="J184" i="2"/>
  <c r="K184" i="2"/>
  <c r="H185" i="2"/>
  <c r="J185" i="2"/>
  <c r="K185" i="2"/>
  <c r="H186" i="2"/>
  <c r="J186" i="2"/>
  <c r="K186" i="2"/>
  <c r="H187" i="2"/>
  <c r="J187" i="2"/>
  <c r="K187" i="2"/>
  <c r="H188" i="2"/>
  <c r="J188" i="2"/>
  <c r="K188" i="2"/>
  <c r="H189" i="2"/>
  <c r="J189" i="2"/>
  <c r="K189" i="2"/>
  <c r="H190" i="2"/>
  <c r="J190" i="2"/>
  <c r="K190" i="2"/>
  <c r="H191" i="2"/>
  <c r="J191" i="2"/>
  <c r="K191" i="2"/>
  <c r="H192" i="2"/>
  <c r="J192" i="2"/>
  <c r="K192" i="2"/>
  <c r="H193" i="2"/>
  <c r="J193" i="2"/>
  <c r="K193" i="2"/>
  <c r="H194" i="2"/>
  <c r="J194" i="2"/>
  <c r="K194" i="2"/>
  <c r="H195" i="2"/>
  <c r="J195" i="2"/>
  <c r="K195" i="2"/>
  <c r="H196" i="2"/>
  <c r="J196" i="2"/>
  <c r="K196" i="2"/>
  <c r="H197" i="2"/>
  <c r="J197" i="2"/>
  <c r="K197" i="2"/>
  <c r="H198" i="2"/>
  <c r="J198" i="2"/>
  <c r="K198" i="2"/>
  <c r="H199" i="2"/>
  <c r="J199" i="2"/>
  <c r="K199" i="2"/>
  <c r="H200" i="2"/>
  <c r="J200" i="2"/>
  <c r="K200" i="2"/>
  <c r="H201" i="2"/>
  <c r="J201" i="2"/>
  <c r="K201" i="2"/>
  <c r="H202" i="2"/>
  <c r="J202" i="2"/>
  <c r="K202" i="2"/>
  <c r="H203" i="2"/>
  <c r="J203" i="2"/>
  <c r="K203" i="2"/>
  <c r="H204" i="2"/>
  <c r="J204" i="2"/>
  <c r="K204" i="2"/>
  <c r="H205" i="2"/>
  <c r="J205" i="2"/>
  <c r="K205" i="2"/>
  <c r="H206" i="2"/>
  <c r="J206" i="2"/>
  <c r="K206" i="2"/>
  <c r="H207" i="2"/>
  <c r="J207" i="2"/>
  <c r="K207" i="2"/>
  <c r="H208" i="2"/>
  <c r="J208" i="2"/>
  <c r="K208" i="2"/>
  <c r="H209" i="2"/>
  <c r="J209" i="2"/>
  <c r="K209" i="2"/>
  <c r="H210" i="2"/>
  <c r="J210" i="2"/>
  <c r="K210" i="2"/>
  <c r="H211" i="2"/>
  <c r="J211" i="2"/>
  <c r="K211" i="2"/>
  <c r="H212" i="2"/>
  <c r="J212" i="2"/>
  <c r="K212" i="2"/>
  <c r="H213" i="2"/>
  <c r="J213" i="2"/>
  <c r="K213" i="2"/>
  <c r="H214" i="2"/>
  <c r="J214" i="2"/>
  <c r="K214" i="2"/>
  <c r="H215" i="2"/>
  <c r="J215" i="2"/>
  <c r="K215" i="2"/>
  <c r="H216" i="2"/>
  <c r="J216" i="2"/>
  <c r="K216" i="2"/>
  <c r="H217" i="2"/>
  <c r="J217" i="2"/>
  <c r="K217" i="2"/>
  <c r="H218" i="2"/>
  <c r="J218" i="2"/>
  <c r="K218" i="2"/>
  <c r="H219" i="2"/>
  <c r="J219" i="2"/>
  <c r="K219" i="2"/>
  <c r="H220" i="2"/>
  <c r="J220" i="2"/>
  <c r="K220" i="2"/>
  <c r="H221" i="2"/>
  <c r="J221" i="2"/>
  <c r="K221" i="2"/>
  <c r="H222" i="2"/>
  <c r="J222" i="2"/>
  <c r="K222" i="2"/>
  <c r="H223" i="2"/>
  <c r="J223" i="2"/>
  <c r="K223" i="2"/>
  <c r="H224" i="2"/>
  <c r="J224" i="2"/>
  <c r="K224" i="2"/>
  <c r="H225" i="2"/>
  <c r="J225" i="2"/>
  <c r="K225" i="2"/>
  <c r="H226" i="2"/>
  <c r="J226" i="2"/>
  <c r="K226" i="2"/>
  <c r="H227" i="2"/>
  <c r="J227" i="2"/>
  <c r="K227" i="2"/>
  <c r="H228" i="2"/>
  <c r="J228" i="2"/>
  <c r="K228" i="2"/>
  <c r="H229" i="2"/>
  <c r="J229" i="2"/>
  <c r="K229" i="2"/>
  <c r="H230" i="2"/>
  <c r="J230" i="2"/>
  <c r="K230" i="2"/>
  <c r="H231" i="2"/>
  <c r="J231" i="2"/>
  <c r="K231" i="2"/>
  <c r="H232" i="2"/>
  <c r="J232" i="2"/>
  <c r="K232" i="2"/>
  <c r="H233" i="2"/>
  <c r="J233" i="2"/>
  <c r="K233" i="2"/>
  <c r="H234" i="2"/>
  <c r="J234" i="2"/>
  <c r="K234" i="2"/>
  <c r="H235" i="2"/>
  <c r="J235" i="2"/>
  <c r="K235" i="2"/>
  <c r="H236" i="2"/>
  <c r="J236" i="2"/>
  <c r="K236" i="2"/>
  <c r="H237" i="2"/>
  <c r="J237" i="2"/>
  <c r="K237" i="2"/>
  <c r="H238" i="2"/>
  <c r="J238" i="2"/>
  <c r="K238" i="2"/>
  <c r="H239" i="2"/>
  <c r="J239" i="2"/>
  <c r="K239" i="2"/>
  <c r="H240" i="2"/>
  <c r="J240" i="2"/>
  <c r="K240" i="2"/>
  <c r="H241" i="2"/>
  <c r="J241" i="2"/>
  <c r="K241" i="2"/>
  <c r="H242" i="2"/>
  <c r="J242" i="2"/>
  <c r="K242" i="2"/>
  <c r="H243" i="2"/>
  <c r="J243" i="2"/>
  <c r="K243" i="2"/>
  <c r="H244" i="2"/>
  <c r="J244" i="2"/>
  <c r="K244" i="2"/>
  <c r="H245" i="2"/>
  <c r="J245" i="2"/>
  <c r="K245" i="2"/>
  <c r="H246" i="2"/>
  <c r="J246" i="2"/>
  <c r="K246" i="2"/>
  <c r="H247" i="2"/>
  <c r="J247" i="2"/>
  <c r="K247" i="2"/>
  <c r="H248" i="2"/>
  <c r="J248" i="2"/>
  <c r="K248" i="2"/>
  <c r="H249" i="2"/>
  <c r="J249" i="2"/>
  <c r="K249" i="2"/>
  <c r="H250" i="2"/>
  <c r="J250" i="2"/>
  <c r="K250" i="2"/>
  <c r="H251" i="2"/>
  <c r="J251" i="2"/>
  <c r="K251" i="2"/>
  <c r="H252" i="2"/>
  <c r="J252" i="2"/>
  <c r="K252" i="2"/>
  <c r="H253" i="2"/>
  <c r="J253" i="2"/>
  <c r="K253" i="2"/>
  <c r="H254" i="2"/>
  <c r="J254" i="2"/>
  <c r="K254" i="2"/>
  <c r="H255" i="2"/>
  <c r="J255" i="2"/>
  <c r="K255" i="2"/>
  <c r="H257" i="2"/>
  <c r="J257" i="2"/>
  <c r="K257" i="2"/>
  <c r="H258" i="2"/>
  <c r="J258" i="2"/>
  <c r="K258" i="2"/>
  <c r="H259" i="2"/>
  <c r="J259" i="2"/>
  <c r="K259" i="2"/>
  <c r="H260" i="2"/>
  <c r="J260" i="2"/>
  <c r="K260" i="2"/>
  <c r="H261" i="2"/>
  <c r="J261" i="2"/>
  <c r="K261" i="2"/>
  <c r="H262" i="2"/>
  <c r="J262" i="2"/>
  <c r="K262" i="2"/>
  <c r="H263" i="2"/>
  <c r="J263" i="2"/>
  <c r="K263" i="2"/>
  <c r="H264" i="2"/>
  <c r="J264" i="2"/>
  <c r="K264" i="2"/>
  <c r="H265" i="2"/>
  <c r="J265" i="2"/>
  <c r="K265" i="2"/>
  <c r="H266" i="2"/>
  <c r="J266" i="2"/>
  <c r="K266" i="2"/>
  <c r="H267" i="2"/>
  <c r="J267" i="2"/>
  <c r="K267" i="2"/>
  <c r="H268" i="2"/>
  <c r="J268" i="2"/>
  <c r="K268" i="2"/>
  <c r="H269" i="2"/>
  <c r="J269" i="2"/>
  <c r="K269" i="2"/>
  <c r="H270" i="2"/>
  <c r="J270" i="2"/>
  <c r="K270" i="2"/>
  <c r="H271" i="2"/>
  <c r="J271" i="2"/>
  <c r="K271" i="2"/>
  <c r="H272" i="2"/>
  <c r="J272" i="2"/>
  <c r="K272" i="2"/>
  <c r="H273" i="2"/>
  <c r="J273" i="2"/>
  <c r="K273" i="2"/>
  <c r="H274" i="2"/>
  <c r="J274" i="2"/>
  <c r="K274" i="2"/>
  <c r="H275" i="2"/>
  <c r="J275" i="2"/>
  <c r="K275" i="2"/>
  <c r="H276" i="2"/>
  <c r="J276" i="2"/>
  <c r="K276" i="2"/>
  <c r="H277" i="2"/>
  <c r="J277" i="2"/>
  <c r="K277" i="2"/>
  <c r="H278" i="2"/>
  <c r="J278" i="2"/>
  <c r="K278" i="2"/>
  <c r="H279" i="2"/>
  <c r="J279" i="2"/>
  <c r="K279" i="2"/>
  <c r="H280" i="2"/>
  <c r="J280" i="2"/>
  <c r="K280" i="2"/>
  <c r="H281" i="2"/>
  <c r="J281" i="2"/>
  <c r="K281" i="2"/>
  <c r="H282" i="2"/>
  <c r="J282" i="2"/>
  <c r="K282" i="2"/>
  <c r="H283" i="2"/>
  <c r="J283" i="2"/>
  <c r="K283" i="2"/>
  <c r="H284" i="2"/>
  <c r="J284" i="2"/>
  <c r="K284" i="2"/>
  <c r="H285" i="2"/>
  <c r="J285" i="2"/>
  <c r="K285" i="2"/>
  <c r="H286" i="2"/>
  <c r="J286" i="2"/>
  <c r="K286" i="2"/>
  <c r="H287" i="2"/>
  <c r="J287" i="2"/>
  <c r="K287" i="2"/>
  <c r="H288" i="2"/>
  <c r="J288" i="2"/>
  <c r="K288" i="2"/>
  <c r="H289" i="2"/>
  <c r="J289" i="2"/>
  <c r="K289" i="2"/>
  <c r="H290" i="2"/>
  <c r="J290" i="2"/>
  <c r="K290" i="2"/>
  <c r="H291" i="2"/>
  <c r="J291" i="2"/>
  <c r="K291" i="2"/>
  <c r="H292" i="2"/>
  <c r="J292" i="2"/>
  <c r="K292" i="2"/>
  <c r="H293" i="2"/>
  <c r="J293" i="2"/>
  <c r="K293" i="2"/>
  <c r="H294" i="2"/>
  <c r="J294" i="2"/>
  <c r="K294" i="2"/>
  <c r="H295" i="2"/>
  <c r="J295" i="2"/>
  <c r="K295" i="2"/>
  <c r="H296" i="2"/>
  <c r="J296" i="2"/>
  <c r="K296" i="2"/>
  <c r="H297" i="2"/>
  <c r="J297" i="2"/>
  <c r="K297" i="2"/>
  <c r="H298" i="2"/>
  <c r="J298" i="2"/>
  <c r="K298" i="2"/>
  <c r="H299" i="2"/>
  <c r="J299" i="2"/>
  <c r="K299" i="2"/>
  <c r="H300" i="2"/>
  <c r="J300" i="2"/>
  <c r="K300" i="2"/>
  <c r="H301" i="2"/>
  <c r="J301" i="2"/>
  <c r="K301" i="2"/>
  <c r="H302" i="2"/>
  <c r="J302" i="2"/>
  <c r="K302" i="2"/>
  <c r="H303" i="2"/>
  <c r="J303" i="2"/>
  <c r="K303" i="2"/>
  <c r="H304" i="2"/>
  <c r="J304" i="2"/>
  <c r="K304" i="2"/>
  <c r="H305" i="2"/>
  <c r="J305" i="2"/>
  <c r="K305" i="2"/>
  <c r="H306" i="2"/>
  <c r="J306" i="2"/>
  <c r="K306" i="2"/>
  <c r="H307" i="2"/>
  <c r="J307" i="2"/>
  <c r="K307" i="2"/>
  <c r="H308" i="2"/>
  <c r="J308" i="2"/>
  <c r="K308" i="2"/>
  <c r="H309" i="2"/>
  <c r="J309" i="2"/>
  <c r="K309" i="2"/>
  <c r="H310" i="2"/>
  <c r="J310" i="2"/>
  <c r="K310" i="2"/>
  <c r="H311" i="2"/>
  <c r="J311" i="2"/>
  <c r="K311" i="2"/>
  <c r="H312" i="2"/>
  <c r="J312" i="2"/>
  <c r="K312" i="2"/>
  <c r="H313" i="2"/>
  <c r="J313" i="2"/>
  <c r="K313" i="2"/>
  <c r="H314" i="2"/>
  <c r="J314" i="2"/>
  <c r="K314" i="2"/>
  <c r="H315" i="2"/>
  <c r="J315" i="2"/>
  <c r="K315" i="2"/>
  <c r="H316" i="2"/>
  <c r="J316" i="2"/>
  <c r="K316" i="2"/>
  <c r="H317" i="2"/>
  <c r="J317" i="2"/>
  <c r="K317" i="2"/>
  <c r="H318" i="2"/>
  <c r="J318" i="2"/>
  <c r="K318" i="2"/>
  <c r="H319" i="2"/>
  <c r="J319" i="2"/>
  <c r="K319" i="2"/>
  <c r="H320" i="2"/>
  <c r="J320" i="2"/>
  <c r="K320" i="2"/>
  <c r="H321" i="2"/>
  <c r="J321" i="2"/>
  <c r="K321" i="2"/>
  <c r="H322" i="2"/>
  <c r="J322" i="2"/>
  <c r="K322" i="2"/>
  <c r="H323" i="2"/>
  <c r="J323" i="2"/>
  <c r="K323" i="2"/>
  <c r="H324" i="2"/>
  <c r="J324" i="2"/>
  <c r="K324" i="2"/>
  <c r="H325" i="2"/>
  <c r="J325" i="2"/>
  <c r="K325" i="2"/>
  <c r="H326" i="2"/>
  <c r="J326" i="2"/>
  <c r="K326" i="2"/>
  <c r="H327" i="2"/>
  <c r="J327" i="2"/>
  <c r="K327" i="2"/>
  <c r="H328" i="2"/>
  <c r="J328" i="2"/>
  <c r="K328" i="2"/>
  <c r="H329" i="2"/>
  <c r="J329" i="2"/>
  <c r="K329" i="2"/>
  <c r="H330" i="2"/>
  <c r="J330" i="2"/>
  <c r="K330" i="2"/>
  <c r="H331" i="2"/>
  <c r="J331" i="2"/>
  <c r="K331" i="2"/>
  <c r="H332" i="2"/>
  <c r="J332" i="2"/>
  <c r="K332" i="2"/>
  <c r="H333" i="2"/>
  <c r="J333" i="2"/>
  <c r="K333" i="2"/>
  <c r="H334" i="2"/>
  <c r="J334" i="2"/>
  <c r="K334" i="2"/>
  <c r="H335" i="2"/>
  <c r="J335" i="2"/>
  <c r="K335" i="2"/>
  <c r="H336" i="2"/>
  <c r="J336" i="2"/>
  <c r="K336" i="2"/>
  <c r="H337" i="2"/>
  <c r="J337" i="2"/>
  <c r="K337" i="2"/>
  <c r="H338" i="2"/>
  <c r="J338" i="2"/>
  <c r="K338" i="2"/>
  <c r="H339" i="2"/>
  <c r="J339" i="2"/>
  <c r="K339" i="2"/>
  <c r="H340" i="2"/>
  <c r="J340" i="2"/>
  <c r="K340" i="2"/>
  <c r="H341" i="2"/>
  <c r="J341" i="2"/>
  <c r="K341" i="2"/>
  <c r="H342" i="2"/>
  <c r="J342" i="2"/>
  <c r="K342" i="2"/>
  <c r="H343" i="2"/>
  <c r="J343" i="2"/>
  <c r="K343" i="2"/>
  <c r="H344" i="2"/>
  <c r="J344" i="2"/>
  <c r="K344" i="2"/>
  <c r="H345" i="2"/>
  <c r="J345" i="2"/>
  <c r="K345" i="2"/>
  <c r="H346" i="2"/>
  <c r="J346" i="2"/>
  <c r="K346" i="2"/>
  <c r="H347" i="2"/>
  <c r="J347" i="2"/>
  <c r="K347" i="2"/>
  <c r="H348" i="2"/>
  <c r="J348" i="2"/>
  <c r="K348" i="2"/>
  <c r="H349" i="2"/>
  <c r="J349" i="2"/>
  <c r="K349" i="2"/>
  <c r="H350" i="2"/>
  <c r="J350" i="2"/>
  <c r="K350" i="2"/>
  <c r="H351" i="2"/>
  <c r="J351" i="2"/>
  <c r="K351" i="2"/>
  <c r="H352" i="2"/>
  <c r="J352" i="2"/>
  <c r="K352" i="2"/>
  <c r="H353" i="2"/>
  <c r="J353" i="2"/>
  <c r="K353" i="2"/>
  <c r="H354" i="2"/>
  <c r="J354" i="2"/>
  <c r="K354" i="2"/>
  <c r="H355" i="2"/>
  <c r="J355" i="2"/>
  <c r="K355" i="2"/>
  <c r="H356" i="2"/>
  <c r="J356" i="2"/>
  <c r="K356" i="2"/>
  <c r="H357" i="2"/>
  <c r="J357" i="2"/>
  <c r="K357" i="2"/>
  <c r="H358" i="2"/>
  <c r="J358" i="2"/>
  <c r="K358" i="2"/>
  <c r="H359" i="2"/>
  <c r="J359" i="2"/>
  <c r="K359" i="2"/>
  <c r="H360" i="2"/>
  <c r="J360" i="2"/>
  <c r="K360" i="2"/>
  <c r="H361" i="2"/>
  <c r="J361" i="2"/>
  <c r="K361" i="2"/>
  <c r="H362" i="2"/>
  <c r="J362" i="2"/>
  <c r="K362" i="2"/>
  <c r="H363" i="2"/>
  <c r="J363" i="2"/>
  <c r="K363" i="2"/>
  <c r="H364" i="2"/>
  <c r="J364" i="2"/>
  <c r="K364" i="2"/>
  <c r="H365" i="2"/>
  <c r="J365" i="2"/>
  <c r="K365" i="2"/>
  <c r="H366" i="2"/>
  <c r="J366" i="2"/>
  <c r="K366" i="2"/>
  <c r="H367" i="2"/>
  <c r="J367" i="2"/>
  <c r="K367" i="2"/>
  <c r="H368" i="2"/>
  <c r="J368" i="2"/>
  <c r="K368" i="2"/>
  <c r="H369" i="2"/>
  <c r="J369" i="2"/>
  <c r="K369" i="2"/>
  <c r="H370" i="2"/>
  <c r="J370" i="2"/>
  <c r="K370" i="2"/>
  <c r="H371" i="2"/>
  <c r="J371" i="2"/>
  <c r="K371" i="2"/>
  <c r="H372" i="2"/>
  <c r="J372" i="2"/>
  <c r="K372" i="2"/>
  <c r="H373" i="2"/>
  <c r="J373" i="2"/>
  <c r="K373" i="2"/>
  <c r="H374" i="2"/>
  <c r="J374" i="2"/>
  <c r="K374" i="2"/>
  <c r="H375" i="2"/>
  <c r="J375" i="2"/>
  <c r="K375" i="2"/>
  <c r="H376" i="2"/>
  <c r="J376" i="2"/>
  <c r="K376" i="2"/>
  <c r="H377" i="2"/>
  <c r="J377" i="2"/>
  <c r="K377" i="2"/>
  <c r="H378" i="2"/>
  <c r="J378" i="2"/>
  <c r="K378" i="2"/>
  <c r="H379" i="2"/>
  <c r="J379" i="2"/>
  <c r="K379" i="2"/>
  <c r="H380" i="2"/>
  <c r="J380" i="2"/>
  <c r="K380" i="2"/>
  <c r="H381" i="2"/>
  <c r="J381" i="2"/>
  <c r="K381" i="2"/>
  <c r="H382" i="2"/>
  <c r="J382" i="2"/>
  <c r="K382" i="2"/>
  <c r="H383" i="2"/>
  <c r="J383" i="2"/>
  <c r="K383" i="2"/>
  <c r="H384" i="2"/>
  <c r="J384" i="2"/>
  <c r="K384" i="2"/>
  <c r="H385" i="2"/>
  <c r="J385" i="2"/>
  <c r="K385" i="2"/>
  <c r="H386" i="2"/>
  <c r="J386" i="2"/>
  <c r="K386" i="2"/>
  <c r="H387" i="2"/>
  <c r="J387" i="2"/>
  <c r="K387" i="2"/>
  <c r="H388" i="2"/>
  <c r="J388" i="2"/>
  <c r="K388" i="2"/>
  <c r="H389" i="2"/>
  <c r="J389" i="2"/>
  <c r="K389" i="2"/>
  <c r="H390" i="2"/>
  <c r="J390" i="2"/>
  <c r="K390" i="2"/>
  <c r="H391" i="2"/>
  <c r="J391" i="2"/>
  <c r="K391" i="2"/>
  <c r="H392" i="2"/>
  <c r="J392" i="2"/>
  <c r="K392" i="2"/>
  <c r="H393" i="2"/>
  <c r="J393" i="2"/>
  <c r="K393" i="2"/>
  <c r="H394" i="2"/>
  <c r="J394" i="2"/>
  <c r="K394" i="2"/>
  <c r="H395" i="2"/>
  <c r="J395" i="2"/>
  <c r="K395" i="2"/>
  <c r="H396" i="2"/>
  <c r="J396" i="2"/>
  <c r="K396" i="2"/>
  <c r="H397" i="2"/>
  <c r="J397" i="2"/>
  <c r="K397" i="2"/>
  <c r="H398" i="2"/>
  <c r="J398" i="2"/>
  <c r="K398" i="2"/>
  <c r="H399" i="2"/>
  <c r="J399" i="2"/>
  <c r="K399" i="2"/>
  <c r="H400" i="2"/>
  <c r="J400" i="2"/>
  <c r="K400" i="2"/>
  <c r="H401" i="2"/>
  <c r="J401" i="2"/>
  <c r="K401" i="2"/>
  <c r="H402" i="2"/>
  <c r="J402" i="2"/>
  <c r="K402" i="2"/>
  <c r="H403" i="2"/>
  <c r="J403" i="2"/>
  <c r="K403" i="2"/>
  <c r="H404" i="2"/>
  <c r="J404" i="2"/>
  <c r="K404" i="2"/>
  <c r="H405" i="2"/>
  <c r="J405" i="2"/>
  <c r="K405" i="2"/>
  <c r="H406" i="2"/>
  <c r="J406" i="2"/>
  <c r="K406" i="2"/>
  <c r="H407" i="2"/>
  <c r="J407" i="2"/>
  <c r="K407" i="2"/>
  <c r="H408" i="2"/>
  <c r="J408" i="2"/>
  <c r="K408" i="2"/>
  <c r="H409" i="2"/>
  <c r="J409" i="2"/>
  <c r="K409" i="2"/>
  <c r="H140" i="2"/>
  <c r="J140" i="2"/>
  <c r="K140" i="2"/>
  <c r="H139" i="2"/>
  <c r="J139" i="2"/>
  <c r="K139" i="2"/>
  <c r="H58" i="2"/>
  <c r="H59" i="2"/>
  <c r="H60" i="2"/>
  <c r="H61" i="2"/>
  <c r="H62" i="2"/>
  <c r="H63" i="2"/>
  <c r="H64" i="2"/>
  <c r="H65" i="2"/>
  <c r="H66" i="2"/>
  <c r="H67" i="2"/>
  <c r="H68" i="2"/>
  <c r="H69" i="2"/>
  <c r="H72" i="2"/>
  <c r="J72" i="2"/>
  <c r="K72" i="2"/>
  <c r="H73" i="2"/>
  <c r="J73" i="2"/>
  <c r="K73" i="2"/>
  <c r="H74" i="2"/>
  <c r="H75" i="2"/>
  <c r="J75" i="2"/>
  <c r="K75" i="2"/>
  <c r="H76" i="2"/>
  <c r="H77" i="2"/>
  <c r="H78" i="2"/>
  <c r="J78" i="2"/>
  <c r="K78" i="2"/>
  <c r="H79" i="2"/>
  <c r="J79" i="2"/>
  <c r="K79" i="2"/>
  <c r="H80" i="2"/>
  <c r="J80" i="2"/>
  <c r="K80" i="2"/>
  <c r="H81" i="2"/>
  <c r="J81" i="2"/>
  <c r="K81" i="2"/>
  <c r="H82" i="2"/>
  <c r="J82" i="2"/>
  <c r="K82" i="2"/>
  <c r="H83" i="2"/>
  <c r="J83" i="2"/>
  <c r="K83" i="2"/>
  <c r="H84" i="2"/>
  <c r="J84" i="2"/>
  <c r="K84" i="2"/>
  <c r="H85" i="2"/>
  <c r="J85" i="2"/>
  <c r="K85" i="2"/>
  <c r="H86" i="2"/>
  <c r="J86" i="2"/>
  <c r="K86" i="2"/>
  <c r="H87" i="2"/>
  <c r="J87" i="2"/>
  <c r="K87" i="2"/>
  <c r="H88" i="2"/>
  <c r="J88" i="2"/>
  <c r="K88" i="2"/>
  <c r="H89" i="2"/>
  <c r="H90" i="2"/>
  <c r="H91" i="2"/>
  <c r="J91" i="2"/>
  <c r="K91" i="2"/>
  <c r="H92" i="2"/>
  <c r="J92" i="2"/>
  <c r="K92" i="2"/>
  <c r="H93" i="2"/>
  <c r="J93" i="2"/>
  <c r="K93" i="2"/>
  <c r="H94" i="2"/>
  <c r="J94" i="2"/>
  <c r="K94" i="2"/>
  <c r="H95" i="2"/>
  <c r="J95" i="2"/>
  <c r="K95" i="2"/>
  <c r="H96" i="2"/>
  <c r="J96" i="2"/>
  <c r="K96" i="2"/>
  <c r="H97" i="2"/>
  <c r="J97" i="2"/>
  <c r="K97" i="2"/>
  <c r="H98" i="2"/>
  <c r="J98" i="2"/>
  <c r="K98" i="2"/>
  <c r="H99" i="2"/>
  <c r="J99" i="2"/>
  <c r="K99" i="2"/>
  <c r="H100" i="2"/>
  <c r="H101" i="2"/>
  <c r="H102" i="2"/>
  <c r="J102" i="2"/>
  <c r="K102" i="2"/>
  <c r="H103" i="2"/>
  <c r="J103" i="2"/>
  <c r="K103" i="2"/>
  <c r="H104" i="2"/>
  <c r="J104" i="2"/>
  <c r="K104" i="2"/>
  <c r="H105" i="2"/>
  <c r="J105" i="2"/>
  <c r="K105" i="2"/>
  <c r="H106" i="2"/>
  <c r="H107" i="2"/>
  <c r="J107" i="2"/>
  <c r="K107" i="2"/>
  <c r="H108" i="2"/>
  <c r="H109" i="2"/>
  <c r="J109" i="2"/>
  <c r="K109" i="2"/>
  <c r="H110" i="2"/>
  <c r="J110" i="2"/>
  <c r="K110" i="2"/>
  <c r="H111" i="2"/>
  <c r="J111" i="2"/>
  <c r="K111" i="2"/>
  <c r="H112" i="2"/>
  <c r="J112" i="2"/>
  <c r="K112" i="2"/>
  <c r="H113" i="2"/>
  <c r="J113" i="2"/>
  <c r="K113" i="2"/>
  <c r="H114" i="2"/>
  <c r="H115" i="2"/>
  <c r="J115" i="2"/>
  <c r="K115" i="2"/>
  <c r="H116" i="2"/>
  <c r="H117" i="2"/>
  <c r="J117" i="2"/>
  <c r="K117" i="2"/>
  <c r="H118" i="2"/>
  <c r="J118" i="2"/>
  <c r="K118" i="2"/>
  <c r="H119" i="2"/>
  <c r="J119" i="2"/>
  <c r="K119" i="2"/>
  <c r="H120" i="2"/>
  <c r="H121" i="2"/>
  <c r="H122" i="2"/>
  <c r="H123" i="2"/>
  <c r="J123" i="2"/>
  <c r="K123" i="2"/>
  <c r="H124" i="2"/>
  <c r="J124" i="2"/>
  <c r="K124" i="2"/>
  <c r="H125" i="2"/>
  <c r="J125" i="2"/>
  <c r="K125" i="2"/>
  <c r="H126" i="2"/>
  <c r="J126" i="2"/>
  <c r="K126" i="2"/>
  <c r="H127" i="2"/>
  <c r="J127" i="2"/>
  <c r="K127" i="2"/>
  <c r="H128" i="2"/>
  <c r="H129" i="2"/>
  <c r="H130" i="2"/>
  <c r="H131" i="2"/>
  <c r="J131" i="2"/>
  <c r="K131" i="2"/>
  <c r="H132" i="2"/>
  <c r="H133" i="2"/>
  <c r="H134" i="2"/>
  <c r="J134" i="2"/>
  <c r="K134" i="2"/>
  <c r="H135" i="2"/>
  <c r="J135" i="2"/>
  <c r="K135" i="2"/>
  <c r="H136" i="2"/>
  <c r="J136" i="2"/>
  <c r="K136" i="2"/>
  <c r="H137" i="2"/>
  <c r="J137" i="2"/>
  <c r="K137" i="2"/>
  <c r="H138" i="2"/>
  <c r="H57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4" i="2"/>
  <c r="K74" i="2"/>
  <c r="J76" i="2"/>
  <c r="K76" i="2"/>
  <c r="J77" i="2"/>
  <c r="K77" i="2"/>
  <c r="J89" i="2"/>
  <c r="K89" i="2"/>
  <c r="J90" i="2"/>
  <c r="K90" i="2"/>
  <c r="J100" i="2"/>
  <c r="K100" i="2"/>
  <c r="J101" i="2"/>
  <c r="K101" i="2"/>
  <c r="J106" i="2"/>
  <c r="K106" i="2"/>
  <c r="J108" i="2"/>
  <c r="K108" i="2"/>
  <c r="J114" i="2"/>
  <c r="K114" i="2"/>
  <c r="J116" i="2"/>
  <c r="K116" i="2"/>
  <c r="J120" i="2"/>
  <c r="K120" i="2"/>
  <c r="J121" i="2"/>
  <c r="K121" i="2"/>
  <c r="J122" i="2"/>
  <c r="K122" i="2"/>
  <c r="J128" i="2"/>
  <c r="K128" i="2"/>
  <c r="J129" i="2"/>
  <c r="K129" i="2"/>
  <c r="J130" i="2"/>
  <c r="K130" i="2"/>
  <c r="J132" i="2"/>
  <c r="K132" i="2"/>
  <c r="J133" i="2"/>
  <c r="K133" i="2"/>
  <c r="J138" i="2"/>
  <c r="K138" i="2"/>
  <c r="H3" i="6"/>
  <c r="J3" i="6"/>
  <c r="K3" i="6"/>
  <c r="H4" i="6"/>
  <c r="J4" i="6"/>
  <c r="K4" i="6"/>
  <c r="H5" i="6"/>
  <c r="J5" i="6"/>
  <c r="K5" i="6"/>
  <c r="H12" i="6"/>
  <c r="J12" i="6"/>
  <c r="K12" i="6"/>
  <c r="H13" i="6"/>
  <c r="J13" i="6"/>
  <c r="K13" i="6"/>
  <c r="H18" i="6"/>
  <c r="J18" i="6"/>
  <c r="K18" i="6"/>
  <c r="H19" i="6"/>
  <c r="J19" i="6"/>
  <c r="K19" i="6"/>
  <c r="H20" i="6"/>
  <c r="J20" i="6"/>
  <c r="K20" i="6"/>
  <c r="H21" i="6"/>
  <c r="J21" i="6"/>
  <c r="K21" i="6"/>
  <c r="H29" i="6"/>
  <c r="J29" i="6"/>
  <c r="K29" i="6"/>
  <c r="H35" i="6"/>
  <c r="J35" i="6"/>
  <c r="K35" i="6"/>
  <c r="H37" i="6"/>
  <c r="J37" i="6"/>
  <c r="K37" i="6"/>
  <c r="H52" i="6"/>
  <c r="J52" i="6"/>
  <c r="K52" i="6"/>
  <c r="H53" i="6"/>
  <c r="J53" i="6"/>
  <c r="K53" i="6"/>
  <c r="H59" i="6"/>
  <c r="J59" i="6"/>
  <c r="K59" i="6"/>
  <c r="H60" i="6"/>
  <c r="J60" i="6"/>
  <c r="K60" i="6"/>
  <c r="H61" i="6"/>
  <c r="J61" i="6"/>
  <c r="K61" i="6"/>
  <c r="H67" i="6"/>
  <c r="J67" i="6"/>
  <c r="K67" i="6"/>
  <c r="H69" i="6"/>
  <c r="J69" i="6"/>
  <c r="K69" i="6"/>
  <c r="H75" i="6"/>
  <c r="J75" i="6"/>
  <c r="K75" i="6"/>
  <c r="H76" i="6"/>
  <c r="J76" i="6"/>
  <c r="K76" i="6"/>
  <c r="H82" i="6"/>
  <c r="J82" i="6"/>
  <c r="K82" i="6"/>
  <c r="H91" i="6"/>
  <c r="J91" i="6"/>
  <c r="K91" i="6"/>
  <c r="H98" i="6"/>
  <c r="J98" i="6"/>
  <c r="K98" i="6"/>
  <c r="H107" i="6"/>
  <c r="J107" i="6"/>
  <c r="K107" i="6"/>
  <c r="H114" i="6"/>
  <c r="J114" i="6"/>
  <c r="K114" i="6"/>
  <c r="H123" i="6"/>
  <c r="J123" i="6"/>
  <c r="K123" i="6"/>
  <c r="H130" i="6"/>
  <c r="J130" i="6"/>
  <c r="K130" i="6"/>
  <c r="H139" i="6"/>
  <c r="J139" i="6"/>
  <c r="K139" i="6"/>
  <c r="H146" i="6"/>
  <c r="J146" i="6"/>
  <c r="K146" i="6"/>
  <c r="H155" i="6"/>
  <c r="J155" i="6"/>
  <c r="K155" i="6"/>
  <c r="H2" i="6"/>
  <c r="J2" i="6"/>
  <c r="K2" i="6"/>
  <c r="H2" i="4"/>
  <c r="J2" i="4"/>
  <c r="K2" i="4"/>
  <c r="H23" i="6"/>
  <c r="J23" i="6"/>
  <c r="K23" i="6"/>
  <c r="H24" i="6"/>
  <c r="J24" i="6"/>
  <c r="K24" i="6"/>
  <c r="H25" i="6"/>
  <c r="J25" i="6"/>
  <c r="K25" i="6"/>
  <c r="H26" i="6"/>
  <c r="J26" i="6"/>
  <c r="K26" i="6"/>
  <c r="H27" i="6"/>
  <c r="J27" i="6"/>
  <c r="K27" i="6"/>
  <c r="H28" i="6"/>
  <c r="J28" i="6"/>
  <c r="K28" i="6"/>
  <c r="H30" i="6"/>
  <c r="J30" i="6"/>
  <c r="K30" i="6"/>
  <c r="H31" i="6"/>
  <c r="J31" i="6"/>
  <c r="K31" i="6"/>
  <c r="H32" i="6"/>
  <c r="J32" i="6"/>
  <c r="K32" i="6"/>
  <c r="H33" i="6"/>
  <c r="J33" i="6"/>
  <c r="K33" i="6"/>
  <c r="H34" i="6"/>
  <c r="J34" i="6"/>
  <c r="K34" i="6"/>
  <c r="H36" i="6"/>
  <c r="J36" i="6"/>
  <c r="K36" i="6"/>
  <c r="H38" i="6"/>
  <c r="J38" i="6"/>
  <c r="K38" i="6"/>
  <c r="H39" i="6"/>
  <c r="J39" i="6"/>
  <c r="K39" i="6"/>
  <c r="H40" i="6"/>
  <c r="J40" i="6"/>
  <c r="K40" i="6"/>
  <c r="H41" i="6"/>
  <c r="J41" i="6"/>
  <c r="K41" i="6"/>
  <c r="H42" i="6"/>
  <c r="J42" i="6"/>
  <c r="K42" i="6"/>
  <c r="H43" i="6"/>
  <c r="J43" i="6"/>
  <c r="K43" i="6"/>
  <c r="H44" i="6"/>
  <c r="J44" i="6"/>
  <c r="K44" i="6"/>
  <c r="H45" i="6"/>
  <c r="J45" i="6"/>
  <c r="K45" i="6"/>
  <c r="H46" i="6"/>
  <c r="J46" i="6"/>
  <c r="K46" i="6"/>
  <c r="H47" i="6"/>
  <c r="J47" i="6"/>
  <c r="K47" i="6"/>
  <c r="H48" i="6"/>
  <c r="J48" i="6"/>
  <c r="K48" i="6"/>
  <c r="H49" i="6"/>
  <c r="J49" i="6"/>
  <c r="K49" i="6"/>
  <c r="H50" i="6"/>
  <c r="J50" i="6"/>
  <c r="K50" i="6"/>
  <c r="H51" i="6"/>
  <c r="J51" i="6"/>
  <c r="K51" i="6"/>
  <c r="H54" i="6"/>
  <c r="J54" i="6"/>
  <c r="K54" i="6"/>
  <c r="H55" i="6"/>
  <c r="J55" i="6"/>
  <c r="K55" i="6"/>
  <c r="H56" i="6"/>
  <c r="J56" i="6"/>
  <c r="K56" i="6"/>
  <c r="H57" i="6"/>
  <c r="J57" i="6"/>
  <c r="K57" i="6"/>
  <c r="H58" i="6"/>
  <c r="J58" i="6"/>
  <c r="K58" i="6"/>
  <c r="H62" i="6"/>
  <c r="J62" i="6"/>
  <c r="K62" i="6"/>
  <c r="H63" i="6"/>
  <c r="J63" i="6"/>
  <c r="K63" i="6"/>
  <c r="H64" i="6"/>
  <c r="J64" i="6"/>
  <c r="K64" i="6"/>
  <c r="H65" i="6"/>
  <c r="J65" i="6"/>
  <c r="K65" i="6"/>
  <c r="H66" i="6"/>
  <c r="J66" i="6"/>
  <c r="K66" i="6"/>
  <c r="H68" i="6"/>
  <c r="J68" i="6"/>
  <c r="K68" i="6"/>
  <c r="H70" i="6"/>
  <c r="J70" i="6"/>
  <c r="K70" i="6"/>
  <c r="H71" i="6"/>
  <c r="J71" i="6"/>
  <c r="K71" i="6"/>
  <c r="H72" i="6"/>
  <c r="J72" i="6"/>
  <c r="K72" i="6"/>
  <c r="H73" i="6"/>
  <c r="J73" i="6"/>
  <c r="K73" i="6"/>
  <c r="H74" i="6"/>
  <c r="J74" i="6"/>
  <c r="K74" i="6"/>
  <c r="H22" i="6"/>
  <c r="J22" i="6"/>
  <c r="K22" i="6"/>
  <c r="H6" i="6"/>
  <c r="J6" i="6"/>
  <c r="K6" i="6"/>
  <c r="H7" i="6"/>
  <c r="J7" i="6"/>
  <c r="K7" i="6"/>
  <c r="H8" i="6"/>
  <c r="J8" i="6"/>
  <c r="K8" i="6"/>
  <c r="H9" i="6"/>
  <c r="J9" i="6"/>
  <c r="K9" i="6"/>
  <c r="H10" i="6"/>
  <c r="J10" i="6"/>
  <c r="K10" i="6"/>
  <c r="H11" i="6"/>
  <c r="J11" i="6"/>
  <c r="K11" i="6"/>
  <c r="H14" i="6"/>
  <c r="J14" i="6"/>
  <c r="K14" i="6"/>
  <c r="H15" i="6"/>
  <c r="J15" i="6"/>
  <c r="K15" i="6"/>
  <c r="J16" i="6"/>
  <c r="K16" i="6"/>
  <c r="H17" i="6"/>
  <c r="J17" i="6"/>
  <c r="K17" i="6"/>
  <c r="H159" i="6"/>
  <c r="J159" i="6"/>
  <c r="K159" i="6"/>
  <c r="H158" i="6"/>
  <c r="J158" i="6"/>
  <c r="K158" i="6"/>
  <c r="H157" i="6"/>
  <c r="J157" i="6"/>
  <c r="K157" i="6"/>
  <c r="H156" i="6"/>
  <c r="J156" i="6"/>
  <c r="K156" i="6"/>
  <c r="H154" i="6"/>
  <c r="J154" i="6"/>
  <c r="K154" i="6"/>
  <c r="H153" i="6"/>
  <c r="J153" i="6"/>
  <c r="K153" i="6"/>
  <c r="H152" i="6"/>
  <c r="J152" i="6"/>
  <c r="K152" i="6"/>
  <c r="H151" i="6"/>
  <c r="J151" i="6"/>
  <c r="K151" i="6"/>
  <c r="H150" i="6"/>
  <c r="J150" i="6"/>
  <c r="K150" i="6"/>
  <c r="H149" i="6"/>
  <c r="J149" i="6"/>
  <c r="K149" i="6"/>
  <c r="H148" i="6"/>
  <c r="J148" i="6"/>
  <c r="K148" i="6"/>
  <c r="H147" i="6"/>
  <c r="J147" i="6"/>
  <c r="K147" i="6"/>
  <c r="H145" i="6"/>
  <c r="J145" i="6"/>
  <c r="K145" i="6"/>
  <c r="H144" i="6"/>
  <c r="J144" i="6"/>
  <c r="K144" i="6"/>
  <c r="H143" i="6"/>
  <c r="J143" i="6"/>
  <c r="K143" i="6"/>
  <c r="H142" i="6"/>
  <c r="J142" i="6"/>
  <c r="K142" i="6"/>
  <c r="H141" i="6"/>
  <c r="J141" i="6"/>
  <c r="K141" i="6"/>
  <c r="H140" i="6"/>
  <c r="J140" i="6"/>
  <c r="K140" i="6"/>
  <c r="H138" i="6"/>
  <c r="J138" i="6"/>
  <c r="K138" i="6"/>
  <c r="H137" i="6"/>
  <c r="J137" i="6"/>
  <c r="K137" i="6"/>
  <c r="H136" i="6"/>
  <c r="J136" i="6"/>
  <c r="K136" i="6"/>
  <c r="H135" i="6"/>
  <c r="J135" i="6"/>
  <c r="K135" i="6"/>
  <c r="H134" i="6"/>
  <c r="J134" i="6"/>
  <c r="K134" i="6"/>
  <c r="H133" i="6"/>
  <c r="J133" i="6"/>
  <c r="K133" i="6"/>
  <c r="H132" i="6"/>
  <c r="J132" i="6"/>
  <c r="K132" i="6"/>
  <c r="H131" i="6"/>
  <c r="J131" i="6"/>
  <c r="K131" i="6"/>
  <c r="H129" i="6"/>
  <c r="J129" i="6"/>
  <c r="K129" i="6"/>
  <c r="H128" i="6"/>
  <c r="J128" i="6"/>
  <c r="K128" i="6"/>
  <c r="H127" i="6"/>
  <c r="J127" i="6"/>
  <c r="K127" i="6"/>
  <c r="H126" i="6"/>
  <c r="J126" i="6"/>
  <c r="K126" i="6"/>
  <c r="H125" i="6"/>
  <c r="J125" i="6"/>
  <c r="K125" i="6"/>
  <c r="H124" i="6"/>
  <c r="J124" i="6"/>
  <c r="K124" i="6"/>
  <c r="H122" i="6"/>
  <c r="J122" i="6"/>
  <c r="K122" i="6"/>
  <c r="H121" i="6"/>
  <c r="J121" i="6"/>
  <c r="K121" i="6"/>
  <c r="H120" i="6"/>
  <c r="J120" i="6"/>
  <c r="K120" i="6"/>
  <c r="H119" i="6"/>
  <c r="J119" i="6"/>
  <c r="K119" i="6"/>
  <c r="H118" i="6"/>
  <c r="J118" i="6"/>
  <c r="K118" i="6"/>
  <c r="H117" i="6"/>
  <c r="J117" i="6"/>
  <c r="K117" i="6"/>
  <c r="H116" i="6"/>
  <c r="J116" i="6"/>
  <c r="K116" i="6"/>
  <c r="H115" i="6"/>
  <c r="J115" i="6"/>
  <c r="K115" i="6"/>
  <c r="H113" i="6"/>
  <c r="J113" i="6"/>
  <c r="K113" i="6"/>
  <c r="H112" i="6"/>
  <c r="J112" i="6"/>
  <c r="K112" i="6"/>
  <c r="H111" i="6"/>
  <c r="J111" i="6"/>
  <c r="K111" i="6"/>
  <c r="H110" i="6"/>
  <c r="J110" i="6"/>
  <c r="K110" i="6"/>
  <c r="H109" i="6"/>
  <c r="J109" i="6"/>
  <c r="K109" i="6"/>
  <c r="H108" i="6"/>
  <c r="J108" i="6"/>
  <c r="K108" i="6"/>
  <c r="H106" i="6"/>
  <c r="J106" i="6"/>
  <c r="K106" i="6"/>
  <c r="H105" i="6"/>
  <c r="J105" i="6"/>
  <c r="K105" i="6"/>
  <c r="H104" i="6"/>
  <c r="J104" i="6"/>
  <c r="K104" i="6"/>
  <c r="H103" i="6"/>
  <c r="J103" i="6"/>
  <c r="K103" i="6"/>
  <c r="H102" i="6"/>
  <c r="J102" i="6"/>
  <c r="K102" i="6"/>
  <c r="H101" i="6"/>
  <c r="J101" i="6"/>
  <c r="K101" i="6"/>
  <c r="H100" i="6"/>
  <c r="J100" i="6"/>
  <c r="K100" i="6"/>
  <c r="H99" i="6"/>
  <c r="J99" i="6"/>
  <c r="K99" i="6"/>
  <c r="H97" i="6"/>
  <c r="J97" i="6"/>
  <c r="K97" i="6"/>
  <c r="H96" i="6"/>
  <c r="J96" i="6"/>
  <c r="K96" i="6"/>
  <c r="H95" i="6"/>
  <c r="J95" i="6"/>
  <c r="K95" i="6"/>
  <c r="H94" i="6"/>
  <c r="J94" i="6"/>
  <c r="K94" i="6"/>
  <c r="H93" i="6"/>
  <c r="J93" i="6"/>
  <c r="K93" i="6"/>
  <c r="H92" i="6"/>
  <c r="J92" i="6"/>
  <c r="K92" i="6"/>
  <c r="H90" i="6"/>
  <c r="J90" i="6"/>
  <c r="K90" i="6"/>
  <c r="H89" i="6"/>
  <c r="J89" i="6"/>
  <c r="K89" i="6"/>
  <c r="H88" i="6"/>
  <c r="J88" i="6"/>
  <c r="K88" i="6"/>
  <c r="H87" i="6"/>
  <c r="J87" i="6"/>
  <c r="K87" i="6"/>
  <c r="H86" i="6"/>
  <c r="J86" i="6"/>
  <c r="K86" i="6"/>
  <c r="H85" i="6"/>
  <c r="J85" i="6"/>
  <c r="K85" i="6"/>
  <c r="H84" i="6"/>
  <c r="J84" i="6"/>
  <c r="K84" i="6"/>
  <c r="H83" i="6"/>
  <c r="J83" i="6"/>
  <c r="K83" i="6"/>
  <c r="H81" i="6"/>
  <c r="J81" i="6"/>
  <c r="K81" i="6"/>
  <c r="H80" i="6"/>
  <c r="J80" i="6"/>
  <c r="K80" i="6"/>
  <c r="H79" i="6"/>
  <c r="J79" i="6"/>
  <c r="K79" i="6"/>
  <c r="H78" i="6"/>
  <c r="J78" i="6"/>
  <c r="K78" i="6"/>
  <c r="H77" i="6"/>
  <c r="J77" i="6"/>
  <c r="K77" i="6"/>
  <c r="H56" i="4"/>
  <c r="J56" i="4"/>
  <c r="K56" i="4"/>
  <c r="H57" i="4"/>
  <c r="J57" i="4"/>
  <c r="K57" i="4"/>
  <c r="H58" i="4"/>
  <c r="J58" i="4"/>
  <c r="K58" i="4"/>
  <c r="H59" i="4"/>
  <c r="J59" i="4"/>
  <c r="K59" i="4"/>
  <c r="H60" i="4"/>
  <c r="J60" i="4"/>
  <c r="K60" i="4"/>
  <c r="H61" i="4"/>
  <c r="J61" i="4"/>
  <c r="K61" i="4"/>
  <c r="H62" i="4"/>
  <c r="J62" i="4"/>
  <c r="K62" i="4"/>
  <c r="H63" i="4"/>
  <c r="J63" i="4"/>
  <c r="K63" i="4"/>
  <c r="H64" i="4"/>
  <c r="J64" i="4"/>
  <c r="K64" i="4"/>
  <c r="H65" i="4"/>
  <c r="J65" i="4"/>
  <c r="K65" i="4"/>
  <c r="H66" i="4"/>
  <c r="J66" i="4"/>
  <c r="K66" i="4"/>
  <c r="H67" i="4"/>
  <c r="J67" i="4"/>
  <c r="K67" i="4"/>
  <c r="H68" i="4"/>
  <c r="J68" i="4"/>
  <c r="K68" i="4"/>
  <c r="H69" i="4"/>
  <c r="J69" i="4"/>
  <c r="K69" i="4"/>
  <c r="J70" i="4"/>
  <c r="K70" i="4"/>
  <c r="J71" i="4"/>
  <c r="K71" i="4"/>
  <c r="H72" i="4"/>
  <c r="J72" i="4"/>
  <c r="K72" i="4"/>
  <c r="H73" i="4"/>
  <c r="J73" i="4"/>
  <c r="K73" i="4"/>
  <c r="H74" i="4"/>
  <c r="J74" i="4"/>
  <c r="K74" i="4"/>
  <c r="H75" i="4"/>
  <c r="J75" i="4"/>
  <c r="K75" i="4"/>
  <c r="H76" i="4"/>
  <c r="J76" i="4"/>
  <c r="K76" i="4"/>
  <c r="H77" i="4"/>
  <c r="J77" i="4"/>
  <c r="K77" i="4"/>
  <c r="H78" i="4"/>
  <c r="J78" i="4"/>
  <c r="K78" i="4"/>
  <c r="H79" i="4"/>
  <c r="J79" i="4"/>
  <c r="K79" i="4"/>
  <c r="H80" i="4"/>
  <c r="J80" i="4"/>
  <c r="K80" i="4"/>
  <c r="H81" i="4"/>
  <c r="J81" i="4"/>
  <c r="K81" i="4"/>
  <c r="H82" i="4"/>
  <c r="J82" i="4"/>
  <c r="K82" i="4"/>
  <c r="H83" i="4"/>
  <c r="J83" i="4"/>
  <c r="K83" i="4"/>
  <c r="H84" i="4"/>
  <c r="J84" i="4"/>
  <c r="K84" i="4"/>
  <c r="H85" i="4"/>
  <c r="J85" i="4"/>
  <c r="K85" i="4"/>
  <c r="H86" i="4"/>
  <c r="J86" i="4"/>
  <c r="K86" i="4"/>
  <c r="H87" i="4"/>
  <c r="J87" i="4"/>
  <c r="K87" i="4"/>
  <c r="H88" i="4"/>
  <c r="J88" i="4"/>
  <c r="K88" i="4"/>
  <c r="H89" i="4"/>
  <c r="J89" i="4"/>
  <c r="K89" i="4"/>
  <c r="H90" i="4"/>
  <c r="J90" i="4"/>
  <c r="K90" i="4"/>
  <c r="H91" i="4"/>
  <c r="J91" i="4"/>
  <c r="K91" i="4"/>
  <c r="H92" i="4"/>
  <c r="J92" i="4"/>
  <c r="K92" i="4"/>
  <c r="H93" i="4"/>
  <c r="J93" i="4"/>
  <c r="K93" i="4"/>
  <c r="H94" i="4"/>
  <c r="J94" i="4"/>
  <c r="K94" i="4"/>
  <c r="H95" i="4"/>
  <c r="J95" i="4"/>
  <c r="K95" i="4"/>
  <c r="H96" i="4"/>
  <c r="J96" i="4"/>
  <c r="K96" i="4"/>
  <c r="H97" i="4"/>
  <c r="J97" i="4"/>
  <c r="K97" i="4"/>
  <c r="H98" i="4"/>
  <c r="J98" i="4"/>
  <c r="K98" i="4"/>
  <c r="H99" i="4"/>
  <c r="J99" i="4"/>
  <c r="K99" i="4"/>
  <c r="H100" i="4"/>
  <c r="J100" i="4"/>
  <c r="K100" i="4"/>
  <c r="H101" i="4"/>
  <c r="J101" i="4"/>
  <c r="K101" i="4"/>
  <c r="H102" i="4"/>
  <c r="J102" i="4"/>
  <c r="K102" i="4"/>
  <c r="H103" i="4"/>
  <c r="J103" i="4"/>
  <c r="K103" i="4"/>
  <c r="H104" i="4"/>
  <c r="J104" i="4"/>
  <c r="K104" i="4"/>
  <c r="H105" i="4"/>
  <c r="J105" i="4"/>
  <c r="K105" i="4"/>
  <c r="H106" i="4"/>
  <c r="J106" i="4"/>
  <c r="K106" i="4"/>
  <c r="H107" i="4"/>
  <c r="J107" i="4"/>
  <c r="K107" i="4"/>
  <c r="H108" i="4"/>
  <c r="J108" i="4"/>
  <c r="K108" i="4"/>
  <c r="H109" i="4"/>
  <c r="J109" i="4"/>
  <c r="K109" i="4"/>
  <c r="H110" i="4"/>
  <c r="J110" i="4"/>
  <c r="K110" i="4"/>
  <c r="H111" i="4"/>
  <c r="J111" i="4"/>
  <c r="K111" i="4"/>
  <c r="H112" i="4"/>
  <c r="J112" i="4"/>
  <c r="K112" i="4"/>
  <c r="H113" i="4"/>
  <c r="J113" i="4"/>
  <c r="K113" i="4"/>
  <c r="H114" i="4"/>
  <c r="J114" i="4"/>
  <c r="K114" i="4"/>
  <c r="H115" i="4"/>
  <c r="J115" i="4"/>
  <c r="K115" i="4"/>
  <c r="H116" i="4"/>
  <c r="J116" i="4"/>
  <c r="K116" i="4"/>
  <c r="H117" i="4"/>
  <c r="J117" i="4"/>
  <c r="K117" i="4"/>
  <c r="H118" i="4"/>
  <c r="J118" i="4"/>
  <c r="K118" i="4"/>
  <c r="H119" i="4"/>
  <c r="J119" i="4"/>
  <c r="K119" i="4"/>
  <c r="H120" i="4"/>
  <c r="J120" i="4"/>
  <c r="K120" i="4"/>
  <c r="H121" i="4"/>
  <c r="J121" i="4"/>
  <c r="K121" i="4"/>
  <c r="H122" i="4"/>
  <c r="J122" i="4"/>
  <c r="K122" i="4"/>
  <c r="H123" i="4"/>
  <c r="J123" i="4"/>
  <c r="K123" i="4"/>
  <c r="H124" i="4"/>
  <c r="J124" i="4"/>
  <c r="K124" i="4"/>
  <c r="H125" i="4"/>
  <c r="J125" i="4"/>
  <c r="K125" i="4"/>
  <c r="H126" i="4"/>
  <c r="J126" i="4"/>
  <c r="K126" i="4"/>
  <c r="H127" i="4"/>
  <c r="J127" i="4"/>
  <c r="K127" i="4"/>
  <c r="H128" i="4"/>
  <c r="J128" i="4"/>
  <c r="K128" i="4"/>
  <c r="H129" i="4"/>
  <c r="J129" i="4"/>
  <c r="K129" i="4"/>
  <c r="H130" i="4"/>
  <c r="J130" i="4"/>
  <c r="K130" i="4"/>
  <c r="H131" i="4"/>
  <c r="J131" i="4"/>
  <c r="K131" i="4"/>
  <c r="H132" i="4"/>
  <c r="J132" i="4"/>
  <c r="K132" i="4"/>
  <c r="H133" i="4"/>
  <c r="J133" i="4"/>
  <c r="K133" i="4"/>
  <c r="H134" i="4"/>
  <c r="J134" i="4"/>
  <c r="K134" i="4"/>
  <c r="H135" i="4"/>
  <c r="J135" i="4"/>
  <c r="K135" i="4"/>
  <c r="H136" i="4"/>
  <c r="J136" i="4"/>
  <c r="K136" i="4"/>
  <c r="H137" i="4"/>
  <c r="J137" i="4"/>
  <c r="K137" i="4"/>
  <c r="H138" i="4"/>
  <c r="J138" i="4"/>
  <c r="K138" i="4"/>
  <c r="H55" i="4"/>
  <c r="J55" i="4"/>
  <c r="K55" i="4"/>
  <c r="H56" i="2"/>
  <c r="J56" i="2"/>
  <c r="K56" i="2"/>
  <c r="H55" i="2"/>
  <c r="H3" i="2"/>
  <c r="J3" i="2"/>
  <c r="K3" i="2"/>
  <c r="H4" i="2"/>
  <c r="J4" i="2"/>
  <c r="K4" i="2"/>
  <c r="H5" i="2"/>
  <c r="J5" i="2"/>
  <c r="K5" i="2"/>
  <c r="H6" i="2"/>
  <c r="J6" i="2"/>
  <c r="K6" i="2"/>
  <c r="H7" i="2"/>
  <c r="J7" i="2"/>
  <c r="K7" i="2"/>
  <c r="H8" i="2"/>
  <c r="J8" i="2"/>
  <c r="K8" i="2"/>
  <c r="H9" i="2"/>
  <c r="J9" i="2"/>
  <c r="K9" i="2"/>
  <c r="H10" i="2"/>
  <c r="J10" i="2"/>
  <c r="K10" i="2"/>
  <c r="H11" i="2"/>
  <c r="J11" i="2"/>
  <c r="K11" i="2"/>
  <c r="H12" i="2"/>
  <c r="J12" i="2"/>
  <c r="K12" i="2"/>
  <c r="H13" i="2"/>
  <c r="J13" i="2"/>
  <c r="K13" i="2"/>
  <c r="H14" i="2"/>
  <c r="J14" i="2"/>
  <c r="K14" i="2"/>
  <c r="H15" i="2"/>
  <c r="J15" i="2"/>
  <c r="K15" i="2"/>
  <c r="H16" i="2"/>
  <c r="J16" i="2"/>
  <c r="K16" i="2"/>
  <c r="H17" i="2"/>
  <c r="J17" i="2"/>
  <c r="K17" i="2"/>
  <c r="H18" i="2"/>
  <c r="J18" i="2"/>
  <c r="K18" i="2"/>
  <c r="H19" i="2"/>
  <c r="J19" i="2"/>
  <c r="K19" i="2"/>
  <c r="H20" i="2"/>
  <c r="J20" i="2"/>
  <c r="K20" i="2"/>
  <c r="H21" i="2"/>
  <c r="J21" i="2"/>
  <c r="K21" i="2"/>
  <c r="H22" i="2"/>
  <c r="J22" i="2"/>
  <c r="K22" i="2"/>
  <c r="H23" i="2"/>
  <c r="J23" i="2"/>
  <c r="K23" i="2"/>
  <c r="H24" i="2"/>
  <c r="J24" i="2"/>
  <c r="K24" i="2"/>
  <c r="H2" i="2"/>
  <c r="J2" i="2"/>
  <c r="K2" i="2"/>
  <c r="H3" i="4"/>
  <c r="J3" i="4"/>
  <c r="K3" i="4"/>
  <c r="H4" i="4"/>
  <c r="J4" i="4"/>
  <c r="K4" i="4"/>
  <c r="H5" i="4"/>
  <c r="J5" i="4"/>
  <c r="K5" i="4"/>
  <c r="H6" i="4"/>
  <c r="J6" i="4"/>
  <c r="K6" i="4"/>
  <c r="H7" i="4"/>
  <c r="J7" i="4"/>
  <c r="K7" i="4"/>
  <c r="H8" i="4"/>
  <c r="J8" i="4"/>
  <c r="K8" i="4"/>
  <c r="H9" i="4"/>
  <c r="J9" i="4"/>
  <c r="K9" i="4"/>
  <c r="H10" i="4"/>
  <c r="J10" i="4"/>
  <c r="K10" i="4"/>
  <c r="H11" i="4"/>
  <c r="J11" i="4"/>
  <c r="K11" i="4"/>
  <c r="H12" i="4"/>
  <c r="J12" i="4"/>
  <c r="K12" i="4"/>
  <c r="H13" i="4"/>
  <c r="J13" i="4"/>
  <c r="K13" i="4"/>
  <c r="H14" i="4"/>
  <c r="J14" i="4"/>
  <c r="K14" i="4"/>
  <c r="H15" i="4"/>
  <c r="J15" i="4"/>
  <c r="K15" i="4"/>
  <c r="H16" i="4"/>
  <c r="J16" i="4"/>
  <c r="K16" i="4"/>
  <c r="H17" i="4"/>
  <c r="J17" i="4"/>
  <c r="K17" i="4"/>
  <c r="H18" i="4"/>
  <c r="J18" i="4"/>
  <c r="K18" i="4"/>
  <c r="H19" i="4"/>
  <c r="J19" i="4"/>
  <c r="K19" i="4"/>
  <c r="H20" i="4"/>
  <c r="J20" i="4"/>
  <c r="K20" i="4"/>
  <c r="H21" i="4"/>
  <c r="J21" i="4"/>
  <c r="K21" i="4"/>
  <c r="H22" i="4"/>
  <c r="J22" i="4"/>
  <c r="K22" i="4"/>
  <c r="H23" i="4"/>
  <c r="J23" i="4"/>
  <c r="K23" i="4"/>
  <c r="H24" i="4"/>
  <c r="J24" i="4"/>
  <c r="K24" i="4"/>
  <c r="H25" i="4"/>
  <c r="J25" i="4"/>
  <c r="K25" i="4"/>
  <c r="H26" i="4"/>
  <c r="J26" i="4"/>
  <c r="K26" i="4"/>
  <c r="H27" i="4"/>
  <c r="J27" i="4"/>
  <c r="K27" i="4"/>
  <c r="H28" i="4"/>
  <c r="J28" i="4"/>
  <c r="K28" i="4"/>
  <c r="H29" i="4"/>
  <c r="J29" i="4"/>
  <c r="K29" i="4"/>
  <c r="H30" i="4"/>
  <c r="J30" i="4"/>
  <c r="K30" i="4"/>
  <c r="H31" i="4"/>
  <c r="J31" i="4"/>
  <c r="K31" i="4"/>
  <c r="H32" i="4"/>
  <c r="J32" i="4"/>
  <c r="K32" i="4"/>
  <c r="H33" i="4"/>
  <c r="J33" i="4"/>
  <c r="K33" i="4"/>
  <c r="H34" i="4"/>
  <c r="J34" i="4"/>
  <c r="K34" i="4"/>
  <c r="H35" i="4"/>
  <c r="J35" i="4"/>
  <c r="K35" i="4"/>
  <c r="H36" i="4"/>
  <c r="J36" i="4"/>
  <c r="K36" i="4"/>
  <c r="H37" i="4"/>
  <c r="J37" i="4"/>
  <c r="K37" i="4"/>
  <c r="H38" i="4"/>
  <c r="J38" i="4"/>
  <c r="K38" i="4"/>
  <c r="H39" i="4"/>
  <c r="J39" i="4"/>
  <c r="K39" i="4"/>
  <c r="H40" i="4"/>
  <c r="J40" i="4"/>
  <c r="K40" i="4"/>
  <c r="H41" i="4"/>
  <c r="J41" i="4"/>
  <c r="K41" i="4"/>
  <c r="H42" i="4"/>
  <c r="J42" i="4"/>
  <c r="K42" i="4"/>
  <c r="H43" i="4"/>
  <c r="J43" i="4"/>
  <c r="K43" i="4"/>
  <c r="H44" i="4"/>
  <c r="J44" i="4"/>
  <c r="K44" i="4"/>
  <c r="H45" i="4"/>
  <c r="J45" i="4"/>
  <c r="K45" i="4"/>
  <c r="H46" i="4"/>
  <c r="J46" i="4"/>
  <c r="K46" i="4"/>
  <c r="H47" i="4"/>
  <c r="J47" i="4"/>
  <c r="K47" i="4"/>
  <c r="H48" i="4"/>
  <c r="J48" i="4"/>
  <c r="K48" i="4"/>
  <c r="H49" i="4"/>
  <c r="J49" i="4"/>
  <c r="K49" i="4"/>
  <c r="H50" i="4"/>
  <c r="J50" i="4"/>
  <c r="K50" i="4"/>
  <c r="H51" i="4"/>
  <c r="J51" i="4"/>
  <c r="K51" i="4"/>
  <c r="H52" i="4"/>
  <c r="J52" i="4"/>
  <c r="K52" i="4"/>
  <c r="H53" i="4"/>
  <c r="J53" i="4"/>
  <c r="K53" i="4"/>
  <c r="H54" i="4"/>
  <c r="J54" i="4"/>
  <c r="K54" i="4"/>
  <c r="H25" i="2"/>
  <c r="J25" i="2"/>
  <c r="K25" i="2"/>
  <c r="H26" i="2"/>
  <c r="J26" i="2"/>
  <c r="K26" i="2"/>
  <c r="H27" i="2"/>
  <c r="J27" i="2"/>
  <c r="K27" i="2"/>
  <c r="H28" i="2"/>
  <c r="J28" i="2"/>
  <c r="K28" i="2"/>
  <c r="H29" i="2"/>
  <c r="J29" i="2"/>
  <c r="K29" i="2"/>
  <c r="H30" i="2"/>
  <c r="J30" i="2"/>
  <c r="K30" i="2"/>
  <c r="H31" i="2"/>
  <c r="J31" i="2"/>
  <c r="K31" i="2"/>
  <c r="H32" i="2"/>
  <c r="J32" i="2"/>
  <c r="K32" i="2"/>
  <c r="H33" i="2"/>
  <c r="J33" i="2"/>
  <c r="K33" i="2"/>
  <c r="H34" i="2"/>
  <c r="J34" i="2"/>
  <c r="K34" i="2"/>
  <c r="H35" i="2"/>
  <c r="J35" i="2"/>
  <c r="K35" i="2"/>
  <c r="H36" i="2"/>
  <c r="J36" i="2"/>
  <c r="K36" i="2"/>
  <c r="H37" i="2"/>
  <c r="J37" i="2"/>
  <c r="K37" i="2"/>
  <c r="H38" i="2"/>
  <c r="J38" i="2"/>
  <c r="K38" i="2"/>
  <c r="H39" i="2"/>
  <c r="J39" i="2"/>
  <c r="K39" i="2"/>
  <c r="H40" i="2"/>
  <c r="J40" i="2"/>
  <c r="K40" i="2"/>
  <c r="H41" i="2"/>
  <c r="J41" i="2"/>
  <c r="K41" i="2"/>
  <c r="H42" i="2"/>
  <c r="J42" i="2"/>
  <c r="K42" i="2"/>
  <c r="H43" i="2"/>
  <c r="J43" i="2"/>
  <c r="K43" i="2"/>
  <c r="H44" i="2"/>
  <c r="J44" i="2"/>
  <c r="K44" i="2"/>
  <c r="H45" i="2"/>
  <c r="J45" i="2"/>
  <c r="K45" i="2"/>
  <c r="H46" i="2"/>
  <c r="J46" i="2"/>
  <c r="K46" i="2"/>
  <c r="H47" i="2"/>
  <c r="J47" i="2"/>
  <c r="K47" i="2"/>
  <c r="H48" i="2"/>
  <c r="J48" i="2"/>
  <c r="K48" i="2"/>
  <c r="H49" i="2"/>
  <c r="J49" i="2"/>
  <c r="K49" i="2"/>
  <c r="H50" i="2"/>
  <c r="J50" i="2"/>
  <c r="K50" i="2"/>
  <c r="H51" i="2"/>
  <c r="J51" i="2"/>
  <c r="K51" i="2"/>
  <c r="H52" i="2"/>
  <c r="J52" i="2"/>
  <c r="K52" i="2"/>
  <c r="H53" i="2"/>
  <c r="J53" i="2"/>
  <c r="K53" i="2"/>
  <c r="H54" i="2"/>
  <c r="J54" i="2"/>
  <c r="K54" i="2"/>
  <c r="J55" i="2"/>
  <c r="K55" i="2"/>
</calcChain>
</file>

<file path=xl/sharedStrings.xml><?xml version="1.0" encoding="utf-8"?>
<sst xmlns="http://schemas.openxmlformats.org/spreadsheetml/2006/main" count="8873" uniqueCount="354">
  <si>
    <t>Absorbance</t>
  </si>
  <si>
    <t>mM PO4</t>
  </si>
  <si>
    <t>mM NO3</t>
  </si>
  <si>
    <t>Analyze Date</t>
  </si>
  <si>
    <t>Sample Date</t>
  </si>
  <si>
    <t>Site</t>
  </si>
  <si>
    <t>Notes</t>
  </si>
  <si>
    <t>Replicate</t>
  </si>
  <si>
    <t>Equation</t>
  </si>
  <si>
    <t>Raw Concentration (μM PO4)</t>
  </si>
  <si>
    <t>Adjusted Concentration (μM PO4)</t>
  </si>
  <si>
    <t>y = 44.693x - 0.4246</t>
  </si>
  <si>
    <t>B3</t>
  </si>
  <si>
    <t>A1</t>
  </si>
  <si>
    <t>A2</t>
  </si>
  <si>
    <t>A3</t>
  </si>
  <si>
    <t>B1</t>
  </si>
  <si>
    <t>B2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</si>
  <si>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</si>
  <si>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</si>
  <si>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</si>
  <si>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</si>
  <si>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</si>
  <si>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</si>
  <si>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</si>
  <si>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</si>
  <si>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</si>
  <si>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</si>
  <si>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</si>
  <si>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</si>
  <si>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GI</t>
  </si>
  <si>
    <t>Raw Concentration (μM NO3)</t>
  </si>
  <si>
    <t>Adjusted Concentration (μM NO3)</t>
  </si>
  <si>
    <t>y = 422.55x - 10.416</t>
  </si>
  <si>
    <t>OL</t>
  </si>
  <si>
    <t>S1</t>
  </si>
  <si>
    <t>R1</t>
  </si>
  <si>
    <t>R2</t>
  </si>
  <si>
    <t>S2</t>
  </si>
  <si>
    <t>A</t>
  </si>
  <si>
    <t>B</t>
  </si>
  <si>
    <t>C</t>
  </si>
  <si>
    <t>D</t>
  </si>
  <si>
    <t>E</t>
  </si>
  <si>
    <t>F</t>
  </si>
  <si>
    <t>MI</t>
  </si>
  <si>
    <t>y = 46.282x - 0.1769</t>
  </si>
  <si>
    <t>y = 331.44x + 2.9603</t>
  </si>
  <si>
    <t>NH4 Concentration (μM)</t>
  </si>
  <si>
    <t>WR Fluorescence</t>
  </si>
  <si>
    <t xml:space="preserve">Oyster Landing (Boathouse) </t>
  </si>
  <si>
    <t>Rhizon</t>
  </si>
  <si>
    <t>y = 3716.8x + 13588</t>
  </si>
  <si>
    <t>Oyster Landing (Ladder)</t>
  </si>
  <si>
    <t>Centrifuge</t>
  </si>
  <si>
    <t>y = 3284.5x + 11074</t>
  </si>
  <si>
    <t>y = 0.0002x - 2.8311</t>
  </si>
  <si>
    <t>Fluorescence</t>
  </si>
  <si>
    <t>Raw NH4 Concentration (μM)</t>
  </si>
  <si>
    <t>Adjusted NH4 Concentration (μM)</t>
  </si>
  <si>
    <t>BC</t>
  </si>
  <si>
    <t>A4</t>
  </si>
  <si>
    <t>B4</t>
  </si>
  <si>
    <t>C4</t>
  </si>
  <si>
    <t>D4</t>
  </si>
  <si>
    <t>E4</t>
  </si>
  <si>
    <t>F4</t>
  </si>
  <si>
    <t>Ambient</t>
  </si>
  <si>
    <t>CC</t>
  </si>
  <si>
    <t>NA</t>
  </si>
  <si>
    <t>BL</t>
  </si>
  <si>
    <t>JL</t>
  </si>
  <si>
    <t>SD</t>
  </si>
  <si>
    <t>L1</t>
  </si>
  <si>
    <t>L2</t>
  </si>
  <si>
    <t>L3</t>
  </si>
  <si>
    <t>M1</t>
  </si>
  <si>
    <t>M2</t>
  </si>
  <si>
    <t>M3</t>
  </si>
  <si>
    <t>H1</t>
  </si>
  <si>
    <t>H2</t>
  </si>
  <si>
    <t>H3</t>
  </si>
  <si>
    <t>y = 41.242x + 0.0717</t>
  </si>
  <si>
    <t>Undiluted Concentration (μM PO4)</t>
  </si>
  <si>
    <t>y = 352.39x + 1.4483</t>
  </si>
  <si>
    <t>y = 0.0003x - 28.981</t>
  </si>
  <si>
    <t>Undiluted Concentration (μM NO3)</t>
  </si>
  <si>
    <t>Undiluted NH4 Concentration (μM)</t>
  </si>
  <si>
    <t>y = 385.17x + 0.1733</t>
  </si>
  <si>
    <t>y = 344.47x - 2.4146</t>
  </si>
  <si>
    <t>y = 54.669x - 0.9475</t>
  </si>
  <si>
    <t>y = 0.0003x - 13.312</t>
  </si>
  <si>
    <t>Dilution Factor</t>
  </si>
  <si>
    <t>SBC Channel</t>
  </si>
  <si>
    <t>SBC Mouth</t>
  </si>
  <si>
    <t>W1</t>
  </si>
  <si>
    <t>W2</t>
  </si>
  <si>
    <t>W3</t>
  </si>
  <si>
    <t>Water Column</t>
  </si>
  <si>
    <t>CBCC</t>
  </si>
  <si>
    <t>CBCM</t>
  </si>
  <si>
    <t>CHCH</t>
  </si>
  <si>
    <t>CHCM</t>
  </si>
  <si>
    <t>y = 405.18x + 4.2619</t>
  </si>
  <si>
    <t>y = 68.247x - 0.9479</t>
  </si>
  <si>
    <t>y = 68.247x - 0.9480</t>
  </si>
  <si>
    <t>y = 68.247x - 0.9481</t>
  </si>
  <si>
    <t>y = 68.247x - 0.9482</t>
  </si>
  <si>
    <t>y = 68.247x - 0.9483</t>
  </si>
  <si>
    <t>y = 68.247x - 0.9484</t>
  </si>
  <si>
    <t>y = 68.247x - 0.9485</t>
  </si>
  <si>
    <t>y = 68.247x - 0.9486</t>
  </si>
  <si>
    <t>y = 68.247x - 0.9487</t>
  </si>
  <si>
    <t>y = 68.247x - 0.9488</t>
  </si>
  <si>
    <t>y = 68.247x - 0.9489</t>
  </si>
  <si>
    <t>y = 68.247x - 0.9490</t>
  </si>
  <si>
    <t>y = 68.247x - 0.9491</t>
  </si>
  <si>
    <t>y = 68.247x - 0.9492</t>
  </si>
  <si>
    <t>y = 68.247x - 0.9493</t>
  </si>
  <si>
    <t>y = 68.247x - 0.9494</t>
  </si>
  <si>
    <t>y = 68.247x - 0.9495</t>
  </si>
  <si>
    <t>y = 68.247x - 0.9496</t>
  </si>
  <si>
    <t>y = 68.247x - 0.9497</t>
  </si>
  <si>
    <t>y = 68.247x - 0.9498</t>
  </si>
  <si>
    <t>y = 68.247x - 0.9499</t>
  </si>
  <si>
    <t>y = 68.247x - 0.9500</t>
  </si>
  <si>
    <t>y = 68.247x - 0.9501</t>
  </si>
  <si>
    <t>y = 68.247x - 0.9502</t>
  </si>
  <si>
    <t>y = 68.247x - 0.9503</t>
  </si>
  <si>
    <t>y = 68.247x - 0.9504</t>
  </si>
  <si>
    <t>y = 68.247x - 0.9505</t>
  </si>
  <si>
    <t>y = 68.247x - 0.9506</t>
  </si>
  <si>
    <t>y = 68.247x - 0.9507</t>
  </si>
  <si>
    <t>y = 68.247x - 0.9508</t>
  </si>
  <si>
    <t>y = 68.247x - 0.9509</t>
  </si>
  <si>
    <t>y = 68.247x - 0.9510</t>
  </si>
  <si>
    <t>y = 68.247x - 0.9511</t>
  </si>
  <si>
    <t>y = 68.247x - 0.9512</t>
  </si>
  <si>
    <t>y = 68.247x - 0.9513</t>
  </si>
  <si>
    <t>y = 68.247x - 0.9514</t>
  </si>
  <si>
    <t>y = 68.247x - 0.9515</t>
  </si>
  <si>
    <t>y = 68.247x - 0.9516</t>
  </si>
  <si>
    <t>y = 68.247x - 0.9517</t>
  </si>
  <si>
    <t>y = 68.247x - 0.9518</t>
  </si>
  <si>
    <t>y = 68.247x - 0.9519</t>
  </si>
  <si>
    <t>y = 68.247x - 0.9520</t>
  </si>
  <si>
    <t>y = 68.247x - 0.9521</t>
  </si>
  <si>
    <t>y = 68.247x - 0.9522</t>
  </si>
  <si>
    <t>y = 68.247x - 0.9523</t>
  </si>
  <si>
    <t>y = 68.247x - 0.9524</t>
  </si>
  <si>
    <t>y = 68.247x - 0.9525</t>
  </si>
  <si>
    <t>y = 68.247x - 0.9526</t>
  </si>
  <si>
    <t>y = 68.247x - 0.9527</t>
  </si>
  <si>
    <t>y = 68.247x - 0.9528</t>
  </si>
  <si>
    <t>y = 68.247x - 0.9529</t>
  </si>
  <si>
    <t>y = 68.247x - 0.9530</t>
  </si>
  <si>
    <t>y = 68.247x - 0.9531</t>
  </si>
  <si>
    <t>y = 68.247x - 0.9532</t>
  </si>
  <si>
    <t>y = 68.247x - 0.9533</t>
  </si>
  <si>
    <t>y = 68.247x - 0.9534</t>
  </si>
  <si>
    <t>y = 68.247x - 0.9535</t>
  </si>
  <si>
    <t>y = 68.247x - 0.9536</t>
  </si>
  <si>
    <t>y = 68.247x - 0.9537</t>
  </si>
  <si>
    <t>y = 68.247x - 0.9538</t>
  </si>
  <si>
    <t>y = 68.247x - 0.9539</t>
  </si>
  <si>
    <t>y = 68.247x - 0.9540</t>
  </si>
  <si>
    <t>y = 68.247x - 0.9541</t>
  </si>
  <si>
    <t>y = 68.247x - 0.9542</t>
  </si>
  <si>
    <t>y = 68.247x - 0.9543</t>
  </si>
  <si>
    <t>y = 68.247x - 0.9544</t>
  </si>
  <si>
    <t>y = 68.247x - 0.9545</t>
  </si>
  <si>
    <t>y = 68.247x - 0.9546</t>
  </si>
  <si>
    <t>y = 68.247x - 0.9547</t>
  </si>
  <si>
    <t>y = 68.247x - 0.9548</t>
  </si>
  <si>
    <t>y = 68.247x - 0.9549</t>
  </si>
  <si>
    <t>y = 68.247x - 0.9550</t>
  </si>
  <si>
    <t>y = 68.247x - 0.9551</t>
  </si>
  <si>
    <t>y = 68.247x - 0.9552</t>
  </si>
  <si>
    <t>y = 68.247x - 0.9553</t>
  </si>
  <si>
    <t>y = 68.247x - 0.9554</t>
  </si>
  <si>
    <t>y = 68.247x - 0.9555</t>
  </si>
  <si>
    <t>y = 68.247x - 0.9556</t>
  </si>
  <si>
    <t>y = 68.247x - 0.9557</t>
  </si>
  <si>
    <t>y = 68.247x - 0.9558</t>
  </si>
  <si>
    <t>y = 68.247x - 0.9559</t>
  </si>
  <si>
    <t>y = 68.247x - 0.9560</t>
  </si>
  <si>
    <t>y = 68.247x - 0.9561</t>
  </si>
  <si>
    <t>y = 68.247x - 0.9562</t>
  </si>
  <si>
    <t>y = 68.247x - 0.9563</t>
  </si>
  <si>
    <t>y = 68.247x - 0.9564</t>
  </si>
  <si>
    <t>y = 68.247x - 0.9565</t>
  </si>
  <si>
    <t>y = 68.247x - 0.9566</t>
  </si>
  <si>
    <t>y = 68.247x - 0.9567</t>
  </si>
  <si>
    <t>y = 68.247x - 0.9568</t>
  </si>
  <si>
    <t>y = 68.247x - 0.9569</t>
  </si>
  <si>
    <t>y = 68.247x - 0.9570</t>
  </si>
  <si>
    <t>y = 68.247x - 0.9571</t>
  </si>
  <si>
    <t>y = 68.247x - 0.9572</t>
  </si>
  <si>
    <t>y = 68.247x - 0.9573</t>
  </si>
  <si>
    <t>y = 68.247x - 0.9574</t>
  </si>
  <si>
    <t>y = 68.247x - 0.9575</t>
  </si>
  <si>
    <t>y = 68.247x - 0.9576</t>
  </si>
  <si>
    <t>y = 68.247x - 0.9577</t>
  </si>
  <si>
    <t>y = 68.247x - 0.9578</t>
  </si>
  <si>
    <t>y = 68.247x - 0.9579</t>
  </si>
  <si>
    <t>y = 68.247x - 0.9580</t>
  </si>
  <si>
    <t>y = 68.247x - 0.9581</t>
  </si>
  <si>
    <t>y = 68.247x - 0.9582</t>
  </si>
  <si>
    <t>y = 68.247x - 0.9583</t>
  </si>
  <si>
    <t>y = 68.247x - 0.9584</t>
  </si>
  <si>
    <t>y = 68.247x - 0.9585</t>
  </si>
  <si>
    <t>y = 68.247x - 0.9586</t>
  </si>
  <si>
    <t>y = 68.247x - 0.9587</t>
  </si>
  <si>
    <t>y = 68.247x - 0.9588</t>
  </si>
  <si>
    <t>y = 68.247x - 0.9589</t>
  </si>
  <si>
    <t>y = 68.247x - 0.9590</t>
  </si>
  <si>
    <t>y = 68.247x - 0.9591</t>
  </si>
  <si>
    <t>y = 68.247x - 0.9592</t>
  </si>
  <si>
    <t>y = 68.247x - 0.9593</t>
  </si>
  <si>
    <t>y = 68.247x - 0.9594</t>
  </si>
  <si>
    <t>y = 68.247x - 0.9595</t>
  </si>
  <si>
    <t>y = 68.247x - 0.9596</t>
  </si>
  <si>
    <t>y = 68.247x - 0.9597</t>
  </si>
  <si>
    <t>y = 68.247x - 0.9598</t>
  </si>
  <si>
    <t>y = 68.247x - 0.9599</t>
  </si>
  <si>
    <t>y = 68.247x - 0.9600</t>
  </si>
  <si>
    <t>y = 68.247x - 0.9601</t>
  </si>
  <si>
    <t>y = 68.247x - 0.9602</t>
  </si>
  <si>
    <t>y = 68.247x - 0.9603</t>
  </si>
  <si>
    <t>y = 68.247x - 0.9604</t>
  </si>
  <si>
    <t>y = 68.247x - 0.9605</t>
  </si>
  <si>
    <t>y = 68.247x - 0.9606</t>
  </si>
  <si>
    <t>y = 68.247x - 0.9607</t>
  </si>
  <si>
    <t>y = 68.247x - 0.9608</t>
  </si>
  <si>
    <t>y = 68.247x - 0.9609</t>
  </si>
  <si>
    <t>y = 68.247x - 0.9610</t>
  </si>
  <si>
    <t>y = 68.247x - 0.9611</t>
  </si>
  <si>
    <t>y = 68.247x - 0.9612</t>
  </si>
  <si>
    <t>y = 68.247x - 0.9613</t>
  </si>
  <si>
    <t>y = 68.247x - 0.9614</t>
  </si>
  <si>
    <t>y = 68.247x - 0.9615</t>
  </si>
  <si>
    <t>y = 68.247x - 0.9616</t>
  </si>
  <si>
    <t>y = 68.247x - 0.9617</t>
  </si>
  <si>
    <t>y = 68.247x - 0.9618</t>
  </si>
  <si>
    <t>y = 68.247x - 0.9619</t>
  </si>
  <si>
    <t>y = 68.247x - 0.9620</t>
  </si>
  <si>
    <t>y = 68.247x - 0.9621</t>
  </si>
  <si>
    <t>y = 68.247x - 0.9622</t>
  </si>
  <si>
    <t>y = 68.247x - 0.9623</t>
  </si>
  <si>
    <t>y = 68.247x - 0.9624</t>
  </si>
  <si>
    <t>y = 68.247x - 0.9625</t>
  </si>
  <si>
    <t>y = 68.247x - 0.9626</t>
  </si>
  <si>
    <t>y = 68.247x - 0.9627</t>
  </si>
  <si>
    <t>y = 68.247x - 0.9628</t>
  </si>
  <si>
    <t>y = 68.247x - 0.9629</t>
  </si>
  <si>
    <t>y = 68.247x - 0.9630</t>
  </si>
  <si>
    <t>y = 68.247x - 0.9631</t>
  </si>
  <si>
    <t>y = 68.247x - 0.9632</t>
  </si>
  <si>
    <t>y = 68.247x - 0.9633</t>
  </si>
  <si>
    <t>y = 68.247x - 0.9634</t>
  </si>
  <si>
    <t>y = 68.247x - 0.9635</t>
  </si>
  <si>
    <t>y = 68.247x - 0.9636</t>
  </si>
  <si>
    <t>y = 68.247x - 0.9637</t>
  </si>
  <si>
    <t>y = 68.247x - 0.9638</t>
  </si>
  <si>
    <t>y = 68.247x - 0.9639</t>
  </si>
  <si>
    <t>y = 68.247x - 0.9640</t>
  </si>
  <si>
    <t>y = 68.247x - 0.9641</t>
  </si>
  <si>
    <t>y = 68.247x - 0.9642</t>
  </si>
  <si>
    <t>y = 68.247x - 0.9643</t>
  </si>
  <si>
    <t>y = 68.247x - 0.9644</t>
  </si>
  <si>
    <t>y = 68.247x - 0.9645</t>
  </si>
  <si>
    <t>y = 68.247x - 0.9646</t>
  </si>
  <si>
    <t>y = 68.247x - 0.9647</t>
  </si>
  <si>
    <t>y = 68.247x - 0.9648</t>
  </si>
  <si>
    <t>y = 68.247x - 0.9649</t>
  </si>
  <si>
    <t>y = 68.247x - 0.9650</t>
  </si>
  <si>
    <t>y = 68.247x - 0.9651</t>
  </si>
  <si>
    <t>y = 68.247x - 0.9652</t>
  </si>
  <si>
    <t>y = 68.247x - 0.9653</t>
  </si>
  <si>
    <t>y = 68.247x - 0.9654</t>
  </si>
  <si>
    <t>y = 68.247x - 0.9655</t>
  </si>
  <si>
    <t>y = 68.247x - 0.9656</t>
  </si>
  <si>
    <t>y = 68.247x - 0.9657</t>
  </si>
  <si>
    <t>y = 68.247x - 0.9658</t>
  </si>
  <si>
    <t>y = 68.247x - 0.9659</t>
  </si>
  <si>
    <t>y = 68.247x - 0.9660</t>
  </si>
  <si>
    <t>y = 68.247x - 0.9661</t>
  </si>
  <si>
    <t>y = 68.247x - 0.9662</t>
  </si>
  <si>
    <t>y = 68.247x - 0.9663</t>
  </si>
  <si>
    <t>y = 68.247x - 0.9664</t>
  </si>
  <si>
    <t>y = 68.247x - 0.9665</t>
  </si>
  <si>
    <t>y = 68.247x - 0.9666</t>
  </si>
  <si>
    <t>y = 68.247x - 0.9667</t>
  </si>
  <si>
    <t>y = 68.247x - 0.9668</t>
  </si>
  <si>
    <t>y = 68.247x - 0.9669</t>
  </si>
  <si>
    <t>y = 68.247x - 0.9670</t>
  </si>
  <si>
    <t>y = 68.247x - 0.9671</t>
  </si>
  <si>
    <t>y = 68.247x - 0.9672</t>
  </si>
  <si>
    <t>y = 68.247x - 0.9673</t>
  </si>
  <si>
    <t>y = 68.247x - 0.9674</t>
  </si>
  <si>
    <t>y = 68.247x - 0.9675</t>
  </si>
  <si>
    <t>y = 68.247x - 0.9676</t>
  </si>
  <si>
    <t>y = 68.247x - 0.9677</t>
  </si>
  <si>
    <t>y = 68.247x - 0.9678</t>
  </si>
  <si>
    <t>y = 68.247x - 0.9679</t>
  </si>
  <si>
    <t>y = 68.247x - 0.9680</t>
  </si>
  <si>
    <t>y = 68.247x - 0.9681</t>
  </si>
  <si>
    <t>y = 68.247x - 0.9682</t>
  </si>
  <si>
    <t>y = 68.247x - 0.9683</t>
  </si>
  <si>
    <t>y = 68.247x - 0.9684</t>
  </si>
  <si>
    <t>y = 68.247x - 0.9685</t>
  </si>
  <si>
    <t>y = 68.247x - 0.9686</t>
  </si>
  <si>
    <t>y = 68.247x - 0.9687</t>
  </si>
  <si>
    <t>y = 68.247x - 0.9688</t>
  </si>
  <si>
    <t>y = 68.247x - 0.9689</t>
  </si>
  <si>
    <t>y = 68.247x - 0.9690</t>
  </si>
  <si>
    <t>y = 68.247x - 0.9691</t>
  </si>
  <si>
    <t>y = 68.247x - 0.9692</t>
  </si>
  <si>
    <t>y = 68.247x - 0.9693</t>
  </si>
  <si>
    <t>y = 68.247x - 0.9694</t>
  </si>
  <si>
    <t>y = 0.0003x - 5.8766</t>
  </si>
  <si>
    <t>BB</t>
  </si>
  <si>
    <t>OM</t>
  </si>
  <si>
    <t>Sandbar</t>
  </si>
  <si>
    <t>TC</t>
  </si>
  <si>
    <t>BCB</t>
  </si>
  <si>
    <t xml:space="preserve">Site Name Guide: </t>
  </si>
  <si>
    <t>Site Abbreviation</t>
  </si>
  <si>
    <t>Full Name</t>
  </si>
  <si>
    <t>Estuary</t>
  </si>
  <si>
    <t>Specific notes</t>
  </si>
  <si>
    <t>Oyster Landing</t>
  </si>
  <si>
    <t>NI</t>
  </si>
  <si>
    <t>Bly Creek</t>
  </si>
  <si>
    <t>Clambank Creek</t>
  </si>
  <si>
    <t>Bread and Butter Creek (BMA Boat site)</t>
  </si>
  <si>
    <t>Old Man Creek (BMA Boat site)</t>
  </si>
  <si>
    <t>Sandbar (BMA Boat site)</t>
  </si>
  <si>
    <t>Town Creek (BMA Boat site)</t>
  </si>
  <si>
    <t>Bly Creek (BMA Boat site)</t>
  </si>
  <si>
    <t>Boat Launch</t>
  </si>
  <si>
    <t>Jordan's Landing</t>
  </si>
  <si>
    <t>Stanley Drive</t>
  </si>
  <si>
    <t>Nutrient measurements tagged "ambient" or "water column" are from the water column, the rest are from the porewater</t>
  </si>
  <si>
    <t>1 through 6</t>
  </si>
  <si>
    <t>Testing sites around OL, disregard data</t>
  </si>
  <si>
    <t>Sixty Bass Creek Channel (BMA Boat site)</t>
  </si>
  <si>
    <t>Sixty Bass Creek Mouth (BMA Boat site)</t>
  </si>
  <si>
    <t>Clambank Creek Channel (BMA Boat site)</t>
  </si>
  <si>
    <t>Clambank Creek Mouth (BMA Boat site)</t>
  </si>
  <si>
    <t>Crab Haul Creek Head (BMA Boat site)</t>
  </si>
  <si>
    <t>Crab Haul Creek Mouth (BMA Boat site)</t>
  </si>
  <si>
    <t>Boardwalk 3 (BMA site)</t>
  </si>
  <si>
    <t>Goat Island (BMA 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</si>
</sst>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2" borderId="0" xfId="0" applyFill="1"/>
    <xf numFmtId="16" fontId="0" fillId="0" borderId="0" xfId="0" applyNumberFormat="1"/>
    <xf numFmtId="16" fontId="0" fillId="2" borderId="0" xfId="0" applyNumberForma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'PO4 St. Curve'!$B$1</c:f>
              <c:strCache>
                <c:ptCount val="1"/>
                <c:pt idx="0">
                  <c:v>mM PO4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0852580927384071E-2"/>
                  <c:y val="-7.01625838436862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'PO4 St. Curve'!$A$2:$A$6</c:f>
              <c:numCache>
                <c:formatCode>General</c:formatCode>
                <c:ptCount val="5"/>
                <c:pt idx="0">
                  <c:v>2.8000000000000001E-2</c:v>
                </c:pt>
                <c:pt idx="1">
                  <c:v>6.8000000000000005E-2</c:v>
                </c:pt>
                <c:pt idx="2">
                  <c:v>0.128</c:v>
                </c:pt>
                <c:pt idx="3">
                  <c:v>0.17199999999999999</c:v>
                </c:pt>
              </c:numCache>
            </c:numRef>
          </c:xVal>
          <c:yVal>
            <c:numRef>
              <c:f>'PO4 St. Curve'!$B$2:$B$6</c:f>
              <c:numCache>
                <c:formatCode>General</c:formatCode>
                <c:ptCount val="5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7-B84E-A2D7-CE4B266A9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636303"/>
        <c:axId val="1558266559"/>
      </c:scatterChart>
      <c:valAx>
        <c:axId val="155863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266559"/>
        <c:crosses val="autoZero"/>
        <c:crossBetween val="midCat"/>
      </c:valAx>
      <c:valAx>
        <c:axId val="155826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63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'PO4 St. Curve'!$B$1</c:f>
              <c:strCache>
                <c:ptCount val="1"/>
                <c:pt idx="0">
                  <c:v>mM PO4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840551181102359E-2"/>
                  <c:y val="-3.7453703703703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'PO4 St. Curve'!$A$2:$A$5</c:f>
              <c:numCache>
                <c:formatCode>General</c:formatCode>
                <c:ptCount val="4"/>
                <c:pt idx="0">
                  <c:v>2.8000000000000001E-2</c:v>
                </c:pt>
                <c:pt idx="1">
                  <c:v>6.8000000000000005E-2</c:v>
                </c:pt>
                <c:pt idx="2">
                  <c:v>0.128</c:v>
                </c:pt>
                <c:pt idx="3">
                  <c:v>0.17199999999999999</c:v>
                </c:pt>
              </c:numCache>
            </c:numRef>
          </c:xVal>
          <c:yVal>
            <c:numRef>
              <c:f>'PO4 St. Curve'!$B$2:$B$5</c:f>
              <c:numCache>
                <c:formatCode>General</c:formatCode>
                <c:ptCount val="4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F9-3249-BA56-BA0BF6D59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696640"/>
        <c:axId val="2027698352"/>
      </c:scatterChart>
      <c:valAx>
        <c:axId val="202769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8352"/>
        <c:crosses val="autoZero"/>
        <c:crossBetween val="midCat"/>
      </c:valAx>
      <c:valAx>
        <c:axId val="2027698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3/19/25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'PO4 St. Curve'!$B$1</c:f>
              <c:strCache>
                <c:ptCount val="1"/>
                <c:pt idx="0">
                  <c:v>mM PO4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840551181102359E-2"/>
                  <c:y val="-3.7453703703703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'PO4 St. Curve'!$A$8:$A$11</c:f>
              <c:numCache>
                <c:formatCode>General</c:formatCode>
                <c:ptCount val="4"/>
                <c:pt idx="0">
                  <c:v>2.5999999999999999E-2</c:v>
                </c:pt>
                <c:pt idx="1">
                  <c:v>5.3999999999999999E-2</c:v>
                </c:pt>
                <c:pt idx="2">
                  <c:v>0.12</c:v>
                </c:pt>
                <c:pt idx="3">
                  <c:v>0.161</c:v>
                </c:pt>
              </c:numCache>
            </c:numRef>
          </c:xVal>
          <c:yVal>
            <c:numRef>
              <c:f>'PO4 St. Curve'!$B$8:$B$11</c:f>
              <c:numCache>
                <c:formatCode>General</c:formatCode>
                <c:ptCount val="4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12-FD40-B12A-8A23DB693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696640"/>
        <c:axId val="2027698352"/>
      </c:scatterChart>
      <c:valAx>
        <c:axId val="202769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8352"/>
        <c:crosses val="autoZero"/>
        <c:crossBetween val="midCat"/>
      </c:valAx>
      <c:valAx>
        <c:axId val="2027698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6/12/25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'PO4 St. Curve'!$B$1</c:f>
              <c:strCache>
                <c:ptCount val="1"/>
                <c:pt idx="0">
                  <c:v>mM PO4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840551181102359E-2"/>
                  <c:y val="-3.7453703703703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'PO4 St. Curve'!$A$14:$A$17</c:f>
              <c:numCache>
                <c:formatCode>General</c:formatCode>
                <c:ptCount val="4"/>
                <c:pt idx="0">
                  <c:v>1.9E-2</c:v>
                </c:pt>
                <c:pt idx="1">
                  <c:v>5.8999999999999997E-2</c:v>
                </c:pt>
                <c:pt idx="2">
                  <c:v>0.13800000000000001</c:v>
                </c:pt>
                <c:pt idx="3">
                  <c:v>0.16500000000000001</c:v>
                </c:pt>
              </c:numCache>
            </c:numRef>
          </c:xVal>
          <c:yVal>
            <c:numRef>
              <c:f>'PO4 St. Curve'!$B$14:$B$17</c:f>
              <c:numCache>
                <c:formatCode>General</c:formatCode>
                <c:ptCount val="4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3-8E43-9670-D439C1884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696640"/>
        <c:axId val="2027698352"/>
      </c:scatterChart>
      <c:valAx>
        <c:axId val="202769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8352"/>
        <c:crosses val="autoZero"/>
        <c:crossBetween val="midCat"/>
      </c:valAx>
      <c:valAx>
        <c:axId val="2027698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6/12/25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'PO4 St. Curve'!$B$1</c:f>
              <c:strCache>
                <c:ptCount val="1"/>
                <c:pt idx="0">
                  <c:v>mM PO4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840551181102359E-2"/>
                  <c:y val="-3.7453703703703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'PO4 St. Curve'!$A$20:$A$23</c:f>
              <c:numCache>
                <c:formatCode>General</c:formatCode>
                <c:ptCount val="4"/>
                <c:pt idx="0">
                  <c:v>2.9000000000000001E-2</c:v>
                </c:pt>
                <c:pt idx="1">
                  <c:v>7.0999999999999994E-2</c:v>
                </c:pt>
                <c:pt idx="2">
                  <c:v>0.114</c:v>
                </c:pt>
                <c:pt idx="3">
                  <c:v>0.14799999999999999</c:v>
                </c:pt>
              </c:numCache>
            </c:numRef>
          </c:xVal>
          <c:yVal>
            <c:numRef>
              <c:f>'PO4 St. Curve'!$B$20:$B$23</c:f>
              <c:numCache>
                <c:formatCode>General</c:formatCode>
                <c:ptCount val="4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1D-D242-B18F-E07822352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696640"/>
        <c:axId val="2027698352"/>
      </c:scatterChart>
      <c:valAx>
        <c:axId val="202769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8352"/>
        <c:crosses val="autoZero"/>
        <c:crossBetween val="midCat"/>
      </c:valAx>
      <c:valAx>
        <c:axId val="2027698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5/25/26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'PO4 St. Curve'!$B$1</c:f>
              <c:strCache>
                <c:ptCount val="1"/>
                <c:pt idx="0">
                  <c:v>mM PO4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840551181102359E-2"/>
                  <c:y val="-3.7453703703703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'PO4 St. Curve'!$A$26:$A$29</c:f>
              <c:numCache>
                <c:formatCode>General</c:formatCode>
                <c:ptCount val="4"/>
                <c:pt idx="0">
                  <c:v>2.8000000000000001E-2</c:v>
                </c:pt>
                <c:pt idx="1">
                  <c:v>4.9000000000000002E-2</c:v>
                </c:pt>
                <c:pt idx="2">
                  <c:v>9.2999999999999999E-2</c:v>
                </c:pt>
                <c:pt idx="3">
                  <c:v>0.12</c:v>
                </c:pt>
              </c:numCache>
            </c:numRef>
          </c:xVal>
          <c:yVal>
            <c:numRef>
              <c:f>'PO4 St. Curve'!$B$26:$B$29</c:f>
              <c:numCache>
                <c:formatCode>General</c:formatCode>
                <c:ptCount val="4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0-1441-BE15-18657A7DA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696640"/>
        <c:axId val="2027698352"/>
      </c:scatterChart>
      <c:valAx>
        <c:axId val="2027696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8352"/>
        <c:crosses val="autoZero"/>
        <c:crossBetween val="midCat"/>
      </c:valAx>
      <c:valAx>
        <c:axId val="2027698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9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'NO3 St. Curve'!$B$1</c:f>
              <c:strCache>
                <c:ptCount val="1"/>
                <c:pt idx="0">
                  <c:v>mM NO3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'NO3 St. Curve'!$A$2:$A$6</c:f>
              <c:numCache>
                <c:formatCode>General</c:formatCode>
                <c:ptCount val="5"/>
                <c:pt idx="0">
                  <c:v>0.03</c:v>
                </c:pt>
                <c:pt idx="1">
                  <c:v>4.2000000000000003E-2</c:v>
                </c:pt>
                <c:pt idx="2">
                  <c:v>4.2000000000000003E-2</c:v>
                </c:pt>
                <c:pt idx="3">
                  <c:v>7.6999999999999999E-2</c:v>
                </c:pt>
                <c:pt idx="4">
                  <c:v>9.1999999999999998E-2</c:v>
                </c:pt>
              </c:numCache>
            </c:numRef>
          </c:xVal>
          <c:yVal>
            <c:numRef>
              <c:f>'NO3 St. Curve'!$B$2:$B$6</c:f>
              <c:numCache>
                <c:formatCode>General</c:formatCode>
                <c:ptCount val="5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4-054E-B4DB-2C804F1F4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48159"/>
        <c:axId val="158534271"/>
      </c:scatterChart>
      <c:valAx>
        <c:axId val="15864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4271"/>
        <c:crosses val="autoZero"/>
        <c:crossBetween val="midCat"/>
      </c:valAx>
      <c:valAx>
        <c:axId val="1585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4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'NO3 St. Curve'!$B$1</c:f>
              <c:strCache>
                <c:ptCount val="1"/>
                <c:pt idx="0">
                  <c:v>mM NO3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'NO3 St. Curve'!$A$9:$A$13</c:f>
              <c:numCache>
                <c:formatCode>General</c:formatCode>
                <c:ptCount val="5"/>
                <c:pt idx="0">
                  <c:v>2E-3</c:v>
                </c:pt>
                <c:pt idx="1">
                  <c:v>1.0999999999999999E-2</c:v>
                </c:pt>
                <c:pt idx="2">
                  <c:v>1.2999999999999999E-2</c:v>
                </c:pt>
                <c:pt idx="3">
                  <c:v>0.05</c:v>
                </c:pt>
                <c:pt idx="4">
                  <c:v>8.3000000000000004E-2</c:v>
                </c:pt>
              </c:numCache>
            </c:numRef>
          </c:xVal>
          <c:yVal>
            <c:numRef>
              <c:f>'NO3 St. Curve'!$B$9:$B$13</c:f>
              <c:numCache>
                <c:formatCode>General</c:formatCode>
                <c:ptCount val="5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B3-F347-B4D0-5CBF330FA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48159"/>
        <c:axId val="158534271"/>
      </c:scatterChart>
      <c:valAx>
        <c:axId val="15864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4271"/>
        <c:crosses val="autoZero"/>
        <c:crossBetween val="midCat"/>
      </c:valAx>
      <c:valAx>
        <c:axId val="1585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4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'NO3 St. Curve'!$B$1</c:f>
              <c:strCache>
                <c:ptCount val="1"/>
                <c:pt idx="0">
                  <c:v>mM NO3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'NO3 St. Curve'!$A$16:$A$20</c:f>
              <c:numCache>
                <c:formatCode>General</c:formatCode>
                <c:ptCount val="5"/>
                <c:pt idx="0">
                  <c:v>3.0000000000000001E-3</c:v>
                </c:pt>
                <c:pt idx="1">
                  <c:v>4.0000000000000001E-3</c:v>
                </c:pt>
                <c:pt idx="2">
                  <c:v>3.3000000000000002E-2</c:v>
                </c:pt>
                <c:pt idx="3">
                  <c:v>5.6000000000000001E-2</c:v>
                </c:pt>
                <c:pt idx="4">
                  <c:v>7.4999999999999997E-2</c:v>
                </c:pt>
              </c:numCache>
            </c:numRef>
          </c:xVal>
          <c:yVal>
            <c:numRef>
              <c:f>'NO3 St. Curve'!$B$16:$B$20</c:f>
              <c:numCache>
                <c:formatCode>General</c:formatCode>
                <c:ptCount val="5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08-1D4E-B1B7-35BC40AB7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48159"/>
        <c:axId val="158534271"/>
      </c:scatterChart>
      <c:valAx>
        <c:axId val="15864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4271"/>
        <c:crosses val="autoZero"/>
        <c:crossBetween val="midCat"/>
      </c:valAx>
      <c:valAx>
        <c:axId val="1585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4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'NO3 St. Curve'!$B$1</c:f>
              <c:strCache>
                <c:ptCount val="1"/>
                <c:pt idx="0">
                  <c:v>mM NO3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'NO3 St. Curve'!$A$23:$A$27</c:f>
              <c:numCache>
                <c:formatCode>General</c:formatCode>
                <c:ptCount val="5"/>
                <c:pt idx="0">
                  <c:v>5.0000000000000001E-3</c:v>
                </c:pt>
                <c:pt idx="1">
                  <c:v>1.2E-2</c:v>
                </c:pt>
                <c:pt idx="2">
                  <c:v>2.8000000000000001E-2</c:v>
                </c:pt>
                <c:pt idx="3">
                  <c:v>5.0999999999999997E-2</c:v>
                </c:pt>
                <c:pt idx="4">
                  <c:v>7.6999999999999999E-2</c:v>
                </c:pt>
              </c:numCache>
            </c:numRef>
          </c:xVal>
          <c:yVal>
            <c:numRef>
              <c:f>'NO3 St. Curve'!$B$23:$B$27</c:f>
              <c:numCache>
                <c:formatCode>General</c:formatCode>
                <c:ptCount val="5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83-904B-9433-3DC11D377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48159"/>
        <c:axId val="158534271"/>
      </c:scatterChart>
      <c:valAx>
        <c:axId val="15864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4271"/>
        <c:crosses val="autoZero"/>
        <c:crossBetween val="midCat"/>
      </c:valAx>
      <c:valAx>
        <c:axId val="1585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4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'NO3 St. Curve'!$B$1</c:f>
              <c:strCache>
                <c:ptCount val="1"/>
                <c:pt idx="0">
                  <c:v>mM NO3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'NO3 St. Curve'!$A$31:$A$35</c:f>
              <c:numCache>
                <c:formatCode>General</c:formatCode>
                <c:ptCount val="5"/>
                <c:pt idx="0">
                  <c:v>1.2E-2</c:v>
                </c:pt>
                <c:pt idx="1">
                  <c:v>0.02</c:v>
                </c:pt>
                <c:pt idx="2">
                  <c:v>4.3999999999999997E-2</c:v>
                </c:pt>
                <c:pt idx="3">
                  <c:v>6.2E-2</c:v>
                </c:pt>
                <c:pt idx="4">
                  <c:v>9.2999999999999999E-2</c:v>
                </c:pt>
              </c:numCache>
            </c:numRef>
          </c:xVal>
          <c:yVal>
            <c:numRef>
              <c:f>'NO3 St. Curve'!$B$31:$B$35</c:f>
              <c:numCache>
                <c:formatCode>General</c:formatCode>
                <c:ptCount val="5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A1-1847-A1DD-37C3D6E41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48159"/>
        <c:axId val="158534271"/>
      </c:scatterChart>
      <c:valAx>
        <c:axId val="15864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4271"/>
        <c:crosses val="autoZero"/>
        <c:crossBetween val="midCat"/>
      </c:valAx>
      <c:valAx>
        <c:axId val="1585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4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'NO3 St. Curve'!$B$1</c:f>
              <c:strCache>
                <c:ptCount val="1"/>
                <c:pt idx="0">
                  <c:v>mM NO3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'NO3 St. Curve'!$A$38:$A$42</c:f>
              <c:numCache>
                <c:formatCode>General</c:formatCode>
                <c:ptCount val="5"/>
                <c:pt idx="0">
                  <c:v>0</c:v>
                </c:pt>
                <c:pt idx="1">
                  <c:v>6.0000000000000001E-3</c:v>
                </c:pt>
                <c:pt idx="2">
                  <c:v>4.0000000000000001E-3</c:v>
                </c:pt>
                <c:pt idx="3">
                  <c:v>4.3999999999999997E-2</c:v>
                </c:pt>
                <c:pt idx="4">
                  <c:v>0.06</c:v>
                </c:pt>
              </c:numCache>
            </c:numRef>
          </c:xVal>
          <c:yVal>
            <c:numRef>
              <c:f>'NO3 St. Curve'!$B$38:$B$42</c:f>
              <c:numCache>
                <c:formatCode>General</c:formatCode>
                <c:ptCount val="5"/>
                <c:pt idx="0">
                  <c:v>2.5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1-A148-B3B5-6AA34F354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48159"/>
        <c:axId val="158534271"/>
      </c:scatterChart>
      <c:valAx>
        <c:axId val="15864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4271"/>
        <c:crosses val="autoZero"/>
        <c:crossBetween val="midCat"/>
      </c:valAx>
      <c:valAx>
        <c:axId val="15853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4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'NH4 St. Curve'!$B$26</c:f>
              <c:strCache>
                <c:ptCount val="1"/>
                <c:pt idx="0">
                  <c:v>NH4 Concentration (μM)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St. Curve'!$A$27:$A$33</c:f>
              <c:numCache>
                <c:formatCode>General</c:formatCode>
                <c:ptCount val="7"/>
                <c:pt idx="0">
                  <c:v>92181.75</c:v>
                </c:pt>
                <c:pt idx="1">
                  <c:v>97334.080000000002</c:v>
                </c:pt>
                <c:pt idx="2">
                  <c:v>115958.2</c:v>
                </c:pt>
                <c:pt idx="3">
                  <c:v>107072.74</c:v>
                </c:pt>
                <c:pt idx="4">
                  <c:v>114408.47</c:v>
                </c:pt>
                <c:pt idx="5">
                  <c:v>125356.56</c:v>
                </c:pt>
                <c:pt idx="6">
                  <c:v>159399.76</c:v>
                </c:pt>
              </c:numCache>
            </c:numRef>
          </c:xVal>
          <c:yVal>
            <c:numRef>
              <c:f>'NH4 St. Curve'!$B$27:$B$33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  <c:pt idx="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3-F54C-96B0-7C0FBBB5B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141455"/>
        <c:axId val="2141037311"/>
      </c:scatterChart>
      <c:valAx>
        <c:axId val="213814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37311"/>
        <c:crosses val="autoZero"/>
        <c:crossBetween val="midCat"/>
      </c:valAx>
      <c:valAx>
        <c:axId val="214103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4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'NH4 St. Curve'!$B$26</c:f>
              <c:strCache>
                <c:ptCount val="1"/>
                <c:pt idx="0">
                  <c:v>NH4 Concentration (μM)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St. Curve'!$A$36:$A$42</c:f>
              <c:numCache>
                <c:formatCode>General</c:formatCode>
                <c:ptCount val="7"/>
                <c:pt idx="0">
                  <c:v>42206.61</c:v>
                </c:pt>
                <c:pt idx="1">
                  <c:v>58086.53</c:v>
                </c:pt>
                <c:pt idx="2">
                  <c:v>59575.7</c:v>
                </c:pt>
                <c:pt idx="3">
                  <c:v>77468.679999999993</c:v>
                </c:pt>
                <c:pt idx="4">
                  <c:v>75634.52</c:v>
                </c:pt>
                <c:pt idx="5">
                  <c:v>101115.62</c:v>
                </c:pt>
                <c:pt idx="6">
                  <c:v>115403.12</c:v>
                </c:pt>
              </c:numCache>
            </c:numRef>
          </c:xVal>
          <c:yVal>
            <c:numRef>
              <c:f>'NH4 St. Curve'!$B$36:$B$42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  <c:pt idx="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38-4A4F-99BB-97B4389B8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141455"/>
        <c:axId val="2141037311"/>
      </c:scatterChart>
      <c:valAx>
        <c:axId val="213814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37311"/>
        <c:crosses val="autoZero"/>
        <c:crossBetween val="midCat"/>
      </c:valAx>
      <c:valAx>
        <c:axId val="214103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4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'NH4 St. Curve'!$B$26</c:f>
              <c:strCache>
                <c:ptCount val="1"/>
                <c:pt idx="0">
                  <c:v>NH4 Concentration (μM)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'NH4 St. Curve'!$A$45:$A$51</c:f>
              <c:numCache>
                <c:formatCode>General</c:formatCode>
                <c:ptCount val="7"/>
                <c:pt idx="0">
                  <c:v>21366.93</c:v>
                </c:pt>
                <c:pt idx="1">
                  <c:v>25784.05</c:v>
                </c:pt>
                <c:pt idx="2">
                  <c:v>25983.360000000001</c:v>
                </c:pt>
                <c:pt idx="3">
                  <c:v>33723.72</c:v>
                </c:pt>
                <c:pt idx="4">
                  <c:v>47149.34</c:v>
                </c:pt>
                <c:pt idx="5">
                  <c:v>56084.09</c:v>
                </c:pt>
                <c:pt idx="6">
                  <c:v>92205.49</c:v>
                </c:pt>
              </c:numCache>
            </c:numRef>
          </c:xVal>
          <c:yVal>
            <c:numRef>
              <c:f>'NH4 St. Curve'!$B$45:$B$51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10</c:v>
                </c:pt>
                <c:pt idx="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4E-1245-A72B-E70EBECF5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141455"/>
        <c:axId val="2141037311"/>
      </c:scatterChart>
      <c:valAx>
        <c:axId val="213814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37311"/>
        <c:crosses val="autoZero"/>
        <c:crossBetween val="midCat"/>
      </c:valAx>
      <c:valAx>
        <c:axId val="2141037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14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692150</xdr:colOff>
      <xdr:row>34</xdr:row>
      <xdr:rowOff>12700</xdr:rowOff>
    </xdr:from>
    <xdr:to>
      <xdr:col>20</xdr:col>
      <xdr:colOff>311150</xdr:colOff>
      <xdr:row>47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A87BB-0F24-E672-D46A-6E52FBF49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69850</xdr:colOff>
      <xdr:row>11</xdr:row>
      <xdr:rowOff>88900</xdr:rowOff>
    </xdr:from>
    <xdr:to>
      <xdr:col>13</xdr:col>
      <xdr:colOff>514350</xdr:colOff>
      <xdr:row>24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D63EC3-2B1B-5C59-9240-9ABC26BDD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698500</xdr:colOff>
      <xdr:row>0</xdr:row>
      <xdr:rowOff>0</xdr:rowOff>
    </xdr:from>
    <xdr:to>
      <xdr:col>11</xdr:col>
      <xdr:colOff>304800</xdr:colOff>
      <xdr:row>13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D20CCB-928A-C44F-8703-AF2411C07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800100</xdr:colOff>
      <xdr:row>13</xdr:row>
      <xdr:rowOff>0</xdr:rowOff>
    </xdr:from>
    <xdr:to>
      <xdr:col>8</xdr:col>
      <xdr:colOff>406400</xdr:colOff>
      <xdr:row>26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0871C-8F1A-3249-92F7-49D17EFBA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419100</xdr:colOff>
      <xdr:row>18</xdr:row>
      <xdr:rowOff>114300</xdr:rowOff>
    </xdr:from>
    <xdr:to>
      <xdr:col>8</xdr:col>
      <xdr:colOff>25400</xdr:colOff>
      <xdr:row>32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FCD084-B737-A94D-937D-D0C8E98F6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304800</xdr:colOff>
      <xdr:row>27</xdr:row>
      <xdr:rowOff>165100</xdr:rowOff>
    </xdr:from>
    <xdr:to>
      <xdr:col>12</xdr:col>
      <xdr:colOff>749300</xdr:colOff>
      <xdr:row>41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7BA20C2-2545-E34D-87A1-477599B54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222250</xdr:colOff>
      <xdr:row>10</xdr:row>
      <xdr:rowOff>25400</xdr:rowOff>
    </xdr:from>
    <xdr:to>
      <xdr:col>12</xdr:col>
      <xdr:colOff>666750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CA6D3-408A-A956-CD9C-765F2C2D9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215900</xdr:colOff>
      <xdr:row>1</xdr:row>
      <xdr:rowOff>101600</xdr:rowOff>
    </xdr:from>
    <xdr:to>
      <xdr:col>11</xdr:col>
      <xdr:colOff>660400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E7EECF-F72F-484D-85DD-D4A49125C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16</xdr:row>
      <xdr:rowOff>88900</xdr:rowOff>
    </xdr:from>
    <xdr:to>
      <xdr:col>8</xdr:col>
      <xdr:colOff>558800</xdr:colOff>
      <xdr:row>29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BBEBF9-2165-984B-A036-9EB5A40DA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711200</xdr:colOff>
      <xdr:row>16</xdr:row>
      <xdr:rowOff>127000</xdr:rowOff>
    </xdr:from>
    <xdr:to>
      <xdr:col>14</xdr:col>
      <xdr:colOff>317500</xdr:colOff>
      <xdr:row>30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5AB6E0-5E7A-A745-9620-45CAE069E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31</xdr:row>
      <xdr:rowOff>0</xdr:rowOff>
    </xdr:from>
    <xdr:to>
      <xdr:col>9</xdr:col>
      <xdr:colOff>444500</xdr:colOff>
      <xdr:row>44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D5AC3B-3213-6E41-9E53-13A7F0822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317500</xdr:colOff>
      <xdr:row>33</xdr:row>
      <xdr:rowOff>25400</xdr:rowOff>
    </xdr:from>
    <xdr:to>
      <xdr:col>16</xdr:col>
      <xdr:colOff>762000</xdr:colOff>
      <xdr:row>46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66BDD2-F9FC-8841-BDA5-39671A1C1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12</xdr:row>
      <xdr:rowOff>31750</xdr:rowOff>
    </xdr:from>
    <xdr:to>
      <xdr:col>9</xdr:col>
      <xdr:colOff>704850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A182E-8776-6D10-F1FB-2CB21C107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29</xdr:row>
      <xdr:rowOff>50800</xdr:rowOff>
    </xdr:from>
    <xdr:to>
      <xdr:col>9</xdr:col>
      <xdr:colOff>152400</xdr:colOff>
      <xdr:row>42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5F66D4-04B2-824B-8FBF-3940965A2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45</xdr:row>
      <xdr:rowOff>0</xdr:rowOff>
    </xdr:from>
    <xdr:to>
      <xdr:col>9</xdr:col>
      <xdr:colOff>444500</xdr:colOff>
      <xdr:row>58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849A80-949F-634C-8F47-511027E95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C8E5F-D332-2F4F-95C5-CFC1FF70164A}">
  <dimension ref="A1:F21"/>
  <sheetViews>
    <sheetView workbookViewId="0">
      <selection activeCell="F13" sqref="F13"/>
    </sheetView>
  </sheetViews>
  <sheetFormatPr defaultColWidth="11" defaultRowHeight="15.75" x14ac:dyDescent="0.25"/>
  <cols>
    <col min="1" max="1" width="16.375" customWidth="1"/>
    <col min="2" max="2" width="21.125" customWidth="1"/>
    <col min="3" max="3" width="42.125" customWidth="1"/>
  </cols>
  <sheetData>
    <row r="1" spans="1:6" x14ac:dyDescent="0.25">
      <c r="A1" s="7" t="s">
        <v>326</v>
      </c>
      <c r="B1" t="s">
        <v>327</v>
      </c>
      <c r="C1" t="s">
        <v>328</v>
      </c>
      <c r="D1" t="s">
        <v>329</v>
      </c>
      <c r="F1" s="7" t="s">
        <v>330</v>
      </c>
    </row>
    <row r="2" spans="1:6" x14ac:dyDescent="0.25">
      <c r="A2" s="7"/>
      <c r="B2" s="4" t="s">
        <v>344</v>
      </c>
      <c r="C2" t="s">
        <v>345</v>
      </c>
      <c r="D2" t="s">
        <v>332</v>
      </c>
      <c r="F2" t="s">
        <v>343</v>
      </c>
    </row>
    <row r="3" spans="1:6" x14ac:dyDescent="0.25">
      <c r="A3" s="7"/>
      <c r="B3" s="4" t="s">
        <v>12</v>
      </c>
      <c r="C3" t="s">
        <v>352</v>
      </c>
      <c r="D3" t="s">
        <v>332</v>
      </c>
    </row>
    <row r="4" spans="1:6" x14ac:dyDescent="0.25">
      <c r="A4" s="7"/>
      <c r="B4" s="4" t="s">
        <v>30</v>
      </c>
      <c r="C4" t="s">
        <v>353</v>
      </c>
      <c r="D4" t="s">
        <v>332</v>
      </c>
    </row>
    <row r="5" spans="1:6" x14ac:dyDescent="0.25">
      <c r="B5" t="s">
        <v>34</v>
      </c>
      <c r="C5" t="s">
        <v>331</v>
      </c>
      <c r="D5" t="s">
        <v>332</v>
      </c>
    </row>
    <row r="6" spans="1:6" x14ac:dyDescent="0.25">
      <c r="B6" t="s">
        <v>60</v>
      </c>
      <c r="C6" t="s">
        <v>333</v>
      </c>
      <c r="D6" t="s">
        <v>332</v>
      </c>
    </row>
    <row r="7" spans="1:6" x14ac:dyDescent="0.25">
      <c r="B7" t="s">
        <v>68</v>
      </c>
      <c r="C7" t="s">
        <v>334</v>
      </c>
      <c r="D7" t="s">
        <v>332</v>
      </c>
    </row>
    <row r="8" spans="1:6" x14ac:dyDescent="0.25">
      <c r="B8" t="s">
        <v>321</v>
      </c>
      <c r="C8" t="s">
        <v>335</v>
      </c>
      <c r="D8" t="s">
        <v>332</v>
      </c>
    </row>
    <row r="9" spans="1:6" x14ac:dyDescent="0.25">
      <c r="B9" t="s">
        <v>322</v>
      </c>
      <c r="C9" t="s">
        <v>336</v>
      </c>
      <c r="D9" t="s">
        <v>332</v>
      </c>
    </row>
    <row r="10" spans="1:6" x14ac:dyDescent="0.25">
      <c r="B10" t="s">
        <v>323</v>
      </c>
      <c r="C10" t="s">
        <v>337</v>
      </c>
      <c r="D10" t="s">
        <v>332</v>
      </c>
    </row>
    <row r="11" spans="1:6" x14ac:dyDescent="0.25">
      <c r="B11" t="s">
        <v>324</v>
      </c>
      <c r="C11" t="s">
        <v>338</v>
      </c>
      <c r="D11" t="s">
        <v>332</v>
      </c>
    </row>
    <row r="12" spans="1:6" x14ac:dyDescent="0.25">
      <c r="B12" t="s">
        <v>325</v>
      </c>
      <c r="C12" t="s">
        <v>339</v>
      </c>
      <c r="D12" t="s">
        <v>332</v>
      </c>
    </row>
    <row r="13" spans="1:6" x14ac:dyDescent="0.25">
      <c r="B13" t="s">
        <v>70</v>
      </c>
      <c r="C13" t="s">
        <v>340</v>
      </c>
      <c r="D13" t="s">
        <v>45</v>
      </c>
    </row>
    <row r="14" spans="1:6" x14ac:dyDescent="0.25">
      <c r="B14" t="s">
        <v>71</v>
      </c>
      <c r="C14" t="s">
        <v>341</v>
      </c>
      <c r="D14" t="s">
        <v>45</v>
      </c>
    </row>
    <row r="15" spans="1:6" x14ac:dyDescent="0.25">
      <c r="B15" t="s">
        <v>72</v>
      </c>
      <c r="C15" t="s">
        <v>342</v>
      </c>
      <c r="D15" t="s">
        <v>45</v>
      </c>
    </row>
    <row r="16" spans="1:6" x14ac:dyDescent="0.25">
      <c r="B16" t="s">
        <v>93</v>
      </c>
      <c r="C16" t="s">
        <v>346</v>
      </c>
      <c r="D16" t="s">
        <v>332</v>
      </c>
    </row>
    <row r="17" spans="2:4" x14ac:dyDescent="0.25">
      <c r="B17" t="s">
        <v>94</v>
      </c>
      <c r="C17" t="s">
        <v>347</v>
      </c>
      <c r="D17" t="s">
        <v>332</v>
      </c>
    </row>
    <row r="18" spans="2:4" x14ac:dyDescent="0.25">
      <c r="B18" t="s">
        <v>99</v>
      </c>
      <c r="C18" t="s">
        <v>348</v>
      </c>
      <c r="D18" t="s">
        <v>332</v>
      </c>
    </row>
    <row r="19" spans="2:4" x14ac:dyDescent="0.25">
      <c r="B19" s="2" t="s">
        <v>100</v>
      </c>
      <c r="C19" t="s">
        <v>349</v>
      </c>
      <c r="D19" t="s">
        <v>332</v>
      </c>
    </row>
    <row r="20" spans="2:4" x14ac:dyDescent="0.25">
      <c r="B20" t="s">
        <v>101</v>
      </c>
      <c r="C20" t="s">
        <v>350</v>
      </c>
      <c r="D20" t="s">
        <v>332</v>
      </c>
    </row>
    <row r="21" spans="2:4" x14ac:dyDescent="0.25">
      <c r="B21" t="s">
        <v>102</v>
      </c>
      <c r="C21" t="s">
        <v>351</v>
      </c>
      <c r="D21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56F9-90F2-B14A-977D-37960ADD9416}">
  <dimension ref="A1:C29"/>
  <sheetViews>
    <sheetView topLeftCell="A12" workbookViewId="0">
      <selection activeCell="G34" sqref="G34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s="1">
        <v>45665</v>
      </c>
    </row>
    <row r="2" spans="1:3" x14ac:dyDescent="0.25">
      <c r="A2">
        <v>2.8000000000000001E-2</v>
      </c>
      <c r="B2">
        <v>1</v>
      </c>
    </row>
    <row r="3" spans="1:3" x14ac:dyDescent="0.25">
      <c r="A3">
        <v>6.8000000000000005E-2</v>
      </c>
      <c r="B3">
        <v>2.5</v>
      </c>
    </row>
    <row r="4" spans="1:3" x14ac:dyDescent="0.25">
      <c r="A4">
        <v>0.128</v>
      </c>
      <c r="B4">
        <v>5</v>
      </c>
    </row>
    <row r="5" spans="1:3" x14ac:dyDescent="0.25">
      <c r="A5">
        <v>0.17199999999999999</v>
      </c>
      <c r="B5">
        <v>7.5</v>
      </c>
    </row>
    <row r="7" spans="1:3" x14ac:dyDescent="0.25">
      <c r="A7" t="s">
        <v>0</v>
      </c>
      <c r="B7" t="s">
        <v>1</v>
      </c>
      <c r="C7" s="1">
        <v>45735</v>
      </c>
    </row>
    <row r="8" spans="1:3" x14ac:dyDescent="0.25">
      <c r="A8">
        <v>2.5999999999999999E-2</v>
      </c>
      <c r="B8">
        <v>1</v>
      </c>
      <c r="C8" s="1"/>
    </row>
    <row r="9" spans="1:3" x14ac:dyDescent="0.25">
      <c r="A9">
        <v>5.3999999999999999E-2</v>
      </c>
      <c r="B9">
        <v>2.5</v>
      </c>
    </row>
    <row r="10" spans="1:3" x14ac:dyDescent="0.25">
      <c r="A10">
        <v>0.12</v>
      </c>
      <c r="B10">
        <v>5</v>
      </c>
    </row>
    <row r="11" spans="1:3" x14ac:dyDescent="0.25">
      <c r="A11">
        <v>0.161</v>
      </c>
      <c r="B11">
        <v>7.5</v>
      </c>
    </row>
    <row r="13" spans="1:3" x14ac:dyDescent="0.25">
      <c r="A13" t="s">
        <v>0</v>
      </c>
      <c r="B13" t="s">
        <v>1</v>
      </c>
      <c r="C13" s="1">
        <v>45820</v>
      </c>
    </row>
    <row r="14" spans="1:3" x14ac:dyDescent="0.25">
      <c r="A14">
        <v>1.9E-2</v>
      </c>
      <c r="B14">
        <v>1</v>
      </c>
    </row>
    <row r="15" spans="1:3" x14ac:dyDescent="0.25">
      <c r="A15">
        <v>5.8999999999999997E-2</v>
      </c>
      <c r="B15">
        <v>2.5</v>
      </c>
    </row>
    <row r="16" spans="1:3" x14ac:dyDescent="0.25">
      <c r="A16" s="2">
        <v>0.13800000000000001</v>
      </c>
      <c r="B16">
        <v>5</v>
      </c>
      <c r="C16" s="1"/>
    </row>
    <row r="17" spans="1:3" x14ac:dyDescent="0.25">
      <c r="A17">
        <v>0.16500000000000001</v>
      </c>
      <c r="B17">
        <v>7.5</v>
      </c>
    </row>
    <row r="19" spans="1:3" x14ac:dyDescent="0.25">
      <c r="A19" t="s">
        <v>0</v>
      </c>
      <c r="B19" t="s">
        <v>1</v>
      </c>
      <c r="C19" s="1">
        <v>45936</v>
      </c>
    </row>
    <row r="20" spans="1:3" x14ac:dyDescent="0.25">
      <c r="A20">
        <v>2.9000000000000001E-2</v>
      </c>
      <c r="B20">
        <v>1</v>
      </c>
    </row>
    <row r="21" spans="1:3" x14ac:dyDescent="0.25">
      <c r="A21">
        <v>7.0999999999999994E-2</v>
      </c>
      <c r="B21">
        <v>2.5</v>
      </c>
    </row>
    <row r="22" spans="1:3" x14ac:dyDescent="0.25">
      <c r="A22" s="2">
        <v>0.114</v>
      </c>
      <c r="B22">
        <v>5</v>
      </c>
    </row>
    <row r="23" spans="1:3" x14ac:dyDescent="0.25">
      <c r="A23">
        <v>0.14799999999999999</v>
      </c>
      <c r="B23">
        <v>7.5</v>
      </c>
    </row>
    <row r="24" spans="1:3" x14ac:dyDescent="0.25">
      <c r="A24" s="2"/>
      <c r="B24" s="2"/>
      <c r="C24" s="1"/>
    </row>
    <row r="25" spans="1:3" x14ac:dyDescent="0.25">
      <c r="A25" t="s">
        <v>0</v>
      </c>
      <c r="B25" t="s">
        <v>1</v>
      </c>
    </row>
    <row r="26" spans="1:3" x14ac:dyDescent="0.25">
      <c r="A26" s="2">
        <v>2.8000000000000001E-2</v>
      </c>
      <c r="B26">
        <v>1</v>
      </c>
    </row>
    <row r="27" spans="1:3" x14ac:dyDescent="0.25">
      <c r="A27">
        <v>4.9000000000000002E-2</v>
      </c>
      <c r="B27">
        <v>2.5</v>
      </c>
    </row>
    <row r="28" spans="1:3" x14ac:dyDescent="0.25">
      <c r="A28" s="2">
        <v>9.2999999999999999E-2</v>
      </c>
      <c r="B28">
        <v>5</v>
      </c>
    </row>
    <row r="29" spans="1:3" x14ac:dyDescent="0.25">
      <c r="A29">
        <v>0.12</v>
      </c>
      <c r="B29">
        <v>7.5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3DAF-BDEE-D14A-B259-6EDBC42EBEB3}">
  <dimension ref="A1:C42"/>
  <sheetViews>
    <sheetView topLeftCell="A28" workbookViewId="0">
      <selection activeCell="P31" sqref="P31"/>
    </sheetView>
  </sheetViews>
  <sheetFormatPr defaultColWidth="11" defaultRowHeight="15.75" x14ac:dyDescent="0.25"/>
  <sheetData>
    <row r="1" spans="1:3" x14ac:dyDescent="0.25">
      <c r="A1" t="s">
        <v>0</v>
      </c>
      <c r="B1" t="s">
        <v>2</v>
      </c>
      <c r="C1" s="1">
        <v>45666</v>
      </c>
    </row>
    <row r="2" spans="1:3" x14ac:dyDescent="0.25">
      <c r="A2">
        <v>0.03</v>
      </c>
      <c r="B2">
        <v>2.5</v>
      </c>
    </row>
    <row r="3" spans="1:3" x14ac:dyDescent="0.25">
      <c r="A3">
        <v>4.2000000000000003E-2</v>
      </c>
      <c r="B3">
        <v>5</v>
      </c>
    </row>
    <row r="4" spans="1:3" x14ac:dyDescent="0.25">
      <c r="A4">
        <v>4.2000000000000003E-2</v>
      </c>
      <c r="B4">
        <v>10</v>
      </c>
    </row>
    <row r="5" spans="1:3" x14ac:dyDescent="0.25">
      <c r="A5">
        <v>7.6999999999999999E-2</v>
      </c>
      <c r="B5">
        <v>20</v>
      </c>
    </row>
    <row r="6" spans="1:3" x14ac:dyDescent="0.25">
      <c r="A6">
        <v>9.1999999999999998E-2</v>
      </c>
      <c r="B6">
        <v>30</v>
      </c>
    </row>
    <row r="8" spans="1:3" x14ac:dyDescent="0.25">
      <c r="A8" t="s">
        <v>0</v>
      </c>
      <c r="B8" t="s">
        <v>2</v>
      </c>
      <c r="C8" s="1">
        <v>45739</v>
      </c>
    </row>
    <row r="9" spans="1:3" x14ac:dyDescent="0.25">
      <c r="A9">
        <v>2E-3</v>
      </c>
      <c r="B9">
        <v>2.5</v>
      </c>
      <c r="C9" s="1"/>
    </row>
    <row r="10" spans="1:3" x14ac:dyDescent="0.25">
      <c r="A10">
        <v>1.0999999999999999E-2</v>
      </c>
      <c r="B10">
        <v>5</v>
      </c>
    </row>
    <row r="11" spans="1:3" x14ac:dyDescent="0.25">
      <c r="A11">
        <v>1.2999999999999999E-2</v>
      </c>
      <c r="B11">
        <v>10</v>
      </c>
    </row>
    <row r="12" spans="1:3" x14ac:dyDescent="0.25">
      <c r="A12">
        <v>0.05</v>
      </c>
      <c r="B12">
        <v>20</v>
      </c>
    </row>
    <row r="13" spans="1:3" x14ac:dyDescent="0.25">
      <c r="A13">
        <v>8.3000000000000004E-2</v>
      </c>
      <c r="B13">
        <v>30</v>
      </c>
    </row>
    <row r="15" spans="1:3" x14ac:dyDescent="0.25">
      <c r="A15" t="s">
        <v>0</v>
      </c>
      <c r="B15" t="s">
        <v>2</v>
      </c>
      <c r="C15" s="1">
        <v>45855</v>
      </c>
    </row>
    <row r="16" spans="1:3" x14ac:dyDescent="0.25">
      <c r="A16">
        <v>3.0000000000000001E-3</v>
      </c>
      <c r="B16">
        <v>2.5</v>
      </c>
    </row>
    <row r="17" spans="1:3" x14ac:dyDescent="0.25">
      <c r="A17">
        <v>4.0000000000000001E-3</v>
      </c>
      <c r="B17">
        <v>5</v>
      </c>
      <c r="C17" s="1"/>
    </row>
    <row r="18" spans="1:3" x14ac:dyDescent="0.25">
      <c r="A18">
        <v>3.3000000000000002E-2</v>
      </c>
      <c r="B18">
        <v>10</v>
      </c>
    </row>
    <row r="19" spans="1:3" x14ac:dyDescent="0.25">
      <c r="A19">
        <v>5.6000000000000001E-2</v>
      </c>
      <c r="B19">
        <v>20</v>
      </c>
    </row>
    <row r="20" spans="1:3" x14ac:dyDescent="0.25">
      <c r="A20">
        <v>7.4999999999999997E-2</v>
      </c>
      <c r="B20">
        <v>30</v>
      </c>
    </row>
    <row r="22" spans="1:3" x14ac:dyDescent="0.25">
      <c r="A22" t="s">
        <v>0</v>
      </c>
      <c r="B22" t="s">
        <v>2</v>
      </c>
      <c r="C22" s="1">
        <v>45929</v>
      </c>
    </row>
    <row r="23" spans="1:3" x14ac:dyDescent="0.25">
      <c r="A23">
        <v>5.0000000000000001E-3</v>
      </c>
      <c r="B23">
        <v>2.5</v>
      </c>
    </row>
    <row r="24" spans="1:3" x14ac:dyDescent="0.25">
      <c r="A24">
        <v>1.2E-2</v>
      </c>
      <c r="B24">
        <v>5</v>
      </c>
    </row>
    <row r="25" spans="1:3" x14ac:dyDescent="0.25">
      <c r="A25">
        <v>2.8000000000000001E-2</v>
      </c>
      <c r="B25">
        <v>10</v>
      </c>
      <c r="C25" s="1"/>
    </row>
    <row r="26" spans="1:3" x14ac:dyDescent="0.25">
      <c r="A26">
        <v>5.0999999999999997E-2</v>
      </c>
      <c r="B26">
        <v>20</v>
      </c>
    </row>
    <row r="27" spans="1:3" x14ac:dyDescent="0.25">
      <c r="A27">
        <v>7.6999999999999999E-2</v>
      </c>
      <c r="B27">
        <v>30</v>
      </c>
    </row>
    <row r="30" spans="1:3" x14ac:dyDescent="0.25">
      <c r="A30" t="s">
        <v>0</v>
      </c>
      <c r="B30" t="s">
        <v>2</v>
      </c>
      <c r="C30" s="1">
        <v>45931</v>
      </c>
    </row>
    <row r="31" spans="1:3" x14ac:dyDescent="0.25">
      <c r="A31">
        <v>1.2E-2</v>
      </c>
      <c r="B31">
        <v>2.5</v>
      </c>
    </row>
    <row r="32" spans="1:3" x14ac:dyDescent="0.25">
      <c r="A32">
        <v>0.02</v>
      </c>
      <c r="B32">
        <v>5</v>
      </c>
    </row>
    <row r="33" spans="1:3" x14ac:dyDescent="0.25">
      <c r="A33">
        <v>4.3999999999999997E-2</v>
      </c>
      <c r="B33">
        <v>10</v>
      </c>
      <c r="C33" s="1"/>
    </row>
    <row r="34" spans="1:3" x14ac:dyDescent="0.25">
      <c r="A34">
        <v>6.2E-2</v>
      </c>
      <c r="B34">
        <v>20</v>
      </c>
    </row>
    <row r="35" spans="1:3" x14ac:dyDescent="0.25">
      <c r="A35">
        <v>9.2999999999999999E-2</v>
      </c>
      <c r="B35">
        <v>30</v>
      </c>
    </row>
    <row r="37" spans="1:3" x14ac:dyDescent="0.25">
      <c r="A37" t="s">
        <v>0</v>
      </c>
      <c r="B37" t="s">
        <v>2</v>
      </c>
      <c r="C37" s="1">
        <v>46163</v>
      </c>
    </row>
    <row r="38" spans="1:3" x14ac:dyDescent="0.25">
      <c r="A38">
        <v>0</v>
      </c>
      <c r="B38">
        <v>2.5</v>
      </c>
    </row>
    <row r="39" spans="1:3" x14ac:dyDescent="0.25">
      <c r="A39">
        <v>6.0000000000000001E-3</v>
      </c>
      <c r="B39">
        <v>5</v>
      </c>
    </row>
    <row r="40" spans="1:3" x14ac:dyDescent="0.25">
      <c r="A40">
        <v>4.0000000000000001E-3</v>
      </c>
      <c r="B40">
        <v>10</v>
      </c>
      <c r="C40" s="1"/>
    </row>
    <row r="41" spans="1:3" x14ac:dyDescent="0.25">
      <c r="A41">
        <v>4.3999999999999997E-2</v>
      </c>
      <c r="B41">
        <v>20</v>
      </c>
    </row>
    <row r="42" spans="1:3" x14ac:dyDescent="0.25">
      <c r="A42">
        <v>0.06</v>
      </c>
      <c r="B42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01F6-1356-5447-B354-02029D7178B2}">
  <dimension ref="A1:C51"/>
  <sheetViews>
    <sheetView topLeftCell="A25" workbookViewId="0">
      <selection activeCell="K45" sqref="K45"/>
    </sheetView>
  </sheetViews>
  <sheetFormatPr defaultColWidth="11" defaultRowHeight="15.75" x14ac:dyDescent="0.25"/>
  <cols>
    <col min="1" max="1" width="22.375" customWidth="1"/>
    <col min="2" max="2" width="21.875" customWidth="1"/>
    <col min="3" max="3" width="14.875" customWidth="1"/>
  </cols>
  <sheetData>
    <row r="1" spans="1:3" x14ac:dyDescent="0.25">
      <c r="A1" t="s">
        <v>48</v>
      </c>
      <c r="B1" t="s">
        <v>49</v>
      </c>
      <c r="C1" s="1">
        <v>45578</v>
      </c>
    </row>
    <row r="2" spans="1:3" x14ac:dyDescent="0.25">
      <c r="A2">
        <v>0</v>
      </c>
      <c r="B2">
        <v>9744.4500000000007</v>
      </c>
    </row>
    <row r="3" spans="1:3" x14ac:dyDescent="0.25">
      <c r="A3">
        <v>1</v>
      </c>
      <c r="B3">
        <v>20255.77</v>
      </c>
    </row>
    <row r="4" spans="1:3" x14ac:dyDescent="0.25">
      <c r="A4">
        <v>2</v>
      </c>
      <c r="B4">
        <v>23312.57</v>
      </c>
    </row>
    <row r="5" spans="1:3" x14ac:dyDescent="0.25">
      <c r="A5">
        <v>4</v>
      </c>
      <c r="B5">
        <v>30514.62</v>
      </c>
    </row>
    <row r="6" spans="1:3" x14ac:dyDescent="0.25">
      <c r="A6">
        <v>6</v>
      </c>
      <c r="B6">
        <v>31651.67</v>
      </c>
    </row>
    <row r="7" spans="1:3" x14ac:dyDescent="0.25">
      <c r="A7">
        <v>10</v>
      </c>
      <c r="B7">
        <v>51838</v>
      </c>
    </row>
    <row r="9" spans="1:3" x14ac:dyDescent="0.25">
      <c r="A9" t="s">
        <v>48</v>
      </c>
      <c r="B9" t="s">
        <v>49</v>
      </c>
      <c r="C9" s="1">
        <v>45664</v>
      </c>
    </row>
    <row r="10" spans="1:3" x14ac:dyDescent="0.25">
      <c r="A10">
        <v>0</v>
      </c>
      <c r="B10">
        <v>11750.01</v>
      </c>
    </row>
    <row r="11" spans="1:3" x14ac:dyDescent="0.25">
      <c r="A11">
        <v>1</v>
      </c>
      <c r="B11">
        <v>13602.97</v>
      </c>
    </row>
    <row r="12" spans="1:3" x14ac:dyDescent="0.25">
      <c r="A12">
        <v>2</v>
      </c>
      <c r="B12">
        <v>16426.73</v>
      </c>
    </row>
    <row r="13" spans="1:3" x14ac:dyDescent="0.25">
      <c r="A13">
        <v>4</v>
      </c>
      <c r="B13">
        <v>23830.93</v>
      </c>
    </row>
    <row r="14" spans="1:3" x14ac:dyDescent="0.25">
      <c r="A14">
        <v>6</v>
      </c>
      <c r="B14">
        <v>31283.46</v>
      </c>
    </row>
    <row r="15" spans="1:3" x14ac:dyDescent="0.25">
      <c r="A15">
        <v>10</v>
      </c>
      <c r="B15">
        <v>46103.79</v>
      </c>
    </row>
    <row r="16" spans="1:3" x14ac:dyDescent="0.25">
      <c r="A16">
        <v>20</v>
      </c>
      <c r="B16">
        <v>75758.58</v>
      </c>
    </row>
    <row r="18" spans="1:3" x14ac:dyDescent="0.25">
      <c r="A18" t="s">
        <v>49</v>
      </c>
      <c r="B18" t="s">
        <v>48</v>
      </c>
      <c r="C18" s="1">
        <v>45740</v>
      </c>
    </row>
    <row r="19" spans="1:3" x14ac:dyDescent="0.25">
      <c r="A19">
        <v>15095.84</v>
      </c>
      <c r="B19">
        <v>0</v>
      </c>
    </row>
    <row r="20" spans="1:3" x14ac:dyDescent="0.25">
      <c r="A20">
        <v>18242.12</v>
      </c>
      <c r="B20">
        <v>1</v>
      </c>
    </row>
    <row r="21" spans="1:3" x14ac:dyDescent="0.25">
      <c r="A21">
        <v>23152.41</v>
      </c>
      <c r="B21">
        <v>2</v>
      </c>
    </row>
    <row r="22" spans="1:3" x14ac:dyDescent="0.25">
      <c r="A22">
        <v>31171.05</v>
      </c>
      <c r="B22">
        <v>4</v>
      </c>
    </row>
    <row r="23" spans="1:3" x14ac:dyDescent="0.25">
      <c r="A23">
        <v>36173.96</v>
      </c>
      <c r="B23">
        <v>6</v>
      </c>
    </row>
    <row r="24" spans="1:3" x14ac:dyDescent="0.25">
      <c r="A24">
        <v>61754.51</v>
      </c>
      <c r="B24">
        <v>10</v>
      </c>
    </row>
    <row r="26" spans="1:3" x14ac:dyDescent="0.25">
      <c r="A26" t="s">
        <v>49</v>
      </c>
      <c r="B26" t="s">
        <v>48</v>
      </c>
      <c r="C26" s="1">
        <v>45856</v>
      </c>
    </row>
    <row r="27" spans="1:3" x14ac:dyDescent="0.25">
      <c r="A27">
        <v>92181.75</v>
      </c>
      <c r="B27">
        <v>0</v>
      </c>
    </row>
    <row r="28" spans="1:3" x14ac:dyDescent="0.25">
      <c r="A28">
        <v>97334.080000000002</v>
      </c>
      <c r="B28">
        <v>1</v>
      </c>
    </row>
    <row r="29" spans="1:3" x14ac:dyDescent="0.25">
      <c r="A29">
        <v>115958.2</v>
      </c>
      <c r="B29">
        <v>2</v>
      </c>
    </row>
    <row r="30" spans="1:3" x14ac:dyDescent="0.25">
      <c r="A30">
        <v>107072.74</v>
      </c>
      <c r="B30">
        <v>4</v>
      </c>
    </row>
    <row r="31" spans="1:3" x14ac:dyDescent="0.25">
      <c r="A31">
        <v>114408.47</v>
      </c>
      <c r="B31">
        <v>6</v>
      </c>
    </row>
    <row r="32" spans="1:3" x14ac:dyDescent="0.25">
      <c r="A32">
        <v>125356.56</v>
      </c>
      <c r="B32">
        <v>10</v>
      </c>
    </row>
    <row r="33" spans="1:3" x14ac:dyDescent="0.25">
      <c r="A33">
        <v>159399.76</v>
      </c>
      <c r="B33">
        <v>20</v>
      </c>
    </row>
    <row r="35" spans="1:3" x14ac:dyDescent="0.25">
      <c r="A35" t="s">
        <v>49</v>
      </c>
      <c r="B35" t="s">
        <v>48</v>
      </c>
      <c r="C35" s="1">
        <v>45938</v>
      </c>
    </row>
    <row r="36" spans="1:3" x14ac:dyDescent="0.25">
      <c r="A36">
        <v>42206.61</v>
      </c>
      <c r="B36">
        <v>0</v>
      </c>
    </row>
    <row r="37" spans="1:3" x14ac:dyDescent="0.25">
      <c r="A37">
        <v>58086.53</v>
      </c>
      <c r="B37">
        <v>1</v>
      </c>
    </row>
    <row r="38" spans="1:3" x14ac:dyDescent="0.25">
      <c r="A38">
        <v>59575.7</v>
      </c>
      <c r="B38">
        <v>2</v>
      </c>
    </row>
    <row r="39" spans="1:3" x14ac:dyDescent="0.25">
      <c r="A39">
        <v>77468.679999999993</v>
      </c>
      <c r="B39">
        <v>4</v>
      </c>
    </row>
    <row r="40" spans="1:3" x14ac:dyDescent="0.25">
      <c r="A40">
        <v>75634.52</v>
      </c>
      <c r="B40">
        <v>6</v>
      </c>
    </row>
    <row r="41" spans="1:3" x14ac:dyDescent="0.25">
      <c r="A41">
        <v>101115.62</v>
      </c>
      <c r="B41">
        <v>10</v>
      </c>
    </row>
    <row r="42" spans="1:3" x14ac:dyDescent="0.25">
      <c r="A42">
        <v>115403.12</v>
      </c>
      <c r="B42">
        <v>20</v>
      </c>
    </row>
    <row r="44" spans="1:3" x14ac:dyDescent="0.25">
      <c r="A44" t="s">
        <v>49</v>
      </c>
      <c r="B44" t="s">
        <v>48</v>
      </c>
    </row>
    <row r="45" spans="1:3" x14ac:dyDescent="0.25">
      <c r="A45">
        <v>21366.93</v>
      </c>
      <c r="B45">
        <v>0</v>
      </c>
    </row>
    <row r="46" spans="1:3" x14ac:dyDescent="0.25">
      <c r="A46">
        <v>25784.05</v>
      </c>
      <c r="B46">
        <v>1</v>
      </c>
    </row>
    <row r="47" spans="1:3" x14ac:dyDescent="0.25">
      <c r="A47">
        <v>25983.360000000001</v>
      </c>
      <c r="B47">
        <v>2</v>
      </c>
    </row>
    <row r="48" spans="1:3" x14ac:dyDescent="0.25">
      <c r="A48">
        <v>33723.72</v>
      </c>
      <c r="B48">
        <v>4</v>
      </c>
    </row>
    <row r="49" spans="1:2" x14ac:dyDescent="0.25">
      <c r="A49">
        <v>47149.34</v>
      </c>
      <c r="B49">
        <v>6</v>
      </c>
    </row>
    <row r="50" spans="1:2" x14ac:dyDescent="0.25">
      <c r="A50">
        <v>56084.09</v>
      </c>
      <c r="B50">
        <v>10</v>
      </c>
    </row>
    <row r="51" spans="1:2" x14ac:dyDescent="0.25">
      <c r="A51">
        <v>92205.49</v>
      </c>
      <c r="B51"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F1DD-D8D2-DB4D-822A-2838A7EF1D3A}">
  <dimension ref="A1:K943"/>
  <sheetViews>
    <sheetView topLeftCell="D1" workbookViewId="0">
      <pane ySplit="1" topLeftCell="A2" activePane="bottomLeft" state="frozen"/>
      <selection pane="bottomLeft" activeCell="D869" sqref="D869:D871"/>
    </sheetView>
  </sheetViews>
  <sheetFormatPr defaultColWidth="11" defaultRowHeight="15.75" x14ac:dyDescent="0.25"/>
  <cols>
    <col min="1" max="5" width="15.125" customWidth="1"/>
    <col min="6" max="6" width="17.375" customWidth="1"/>
    <col min="8" max="8" width="27.125" customWidth="1"/>
    <col min="9" max="9" width="16.5" customWidth="1"/>
    <col min="10" max="11" width="27.625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0</v>
      </c>
      <c r="H1" t="s">
        <v>9</v>
      </c>
      <c r="I1" t="s">
        <v>92</v>
      </c>
      <c r="J1" t="s">
        <v>83</v>
      </c>
      <c r="K1" t="s">
        <v>10</v>
      </c>
    </row>
    <row r="2" spans="1:11" x14ac:dyDescent="0.25">
      <c r="A2" s="1">
        <v>45665</v>
      </c>
      <c r="B2" s="1">
        <v>45636</v>
      </c>
      <c r="C2" s="2">
        <v>1</v>
      </c>
      <c r="D2" s="2"/>
      <c r="E2" s="2">
        <v>1</v>
      </c>
      <c r="F2" t="s">
        <v>11</v>
      </c>
      <c r="G2" s="2">
        <v>7.0000000000000001E-3</v>
      </c>
      <c r="H2">
        <f>(44.693*G2)-0.4246</f>
        <v>-0.11174899999999999</v>
      </c>
      <c r="I2">
        <v>20</v>
      </c>
      <c r="J2">
        <f>H2*I2</f>
        <v>-2.2349799999999997</v>
      </c>
      <c r="K2">
        <f>MAX(J2,0)</f>
        <v>0</v>
      </c>
    </row>
    <row r="3" spans="1:11" x14ac:dyDescent="0.25">
      <c r="A3" s="1">
        <v>45665</v>
      </c>
      <c r="B3" s="1">
        <v>45636</v>
      </c>
      <c r="C3" s="2">
        <v>1</v>
      </c>
      <c r="D3" s="2"/>
      <c r="E3" s="2">
        <v>2</v>
      </c>
      <c r="F3" t="s">
        <v>11</v>
      </c>
      <c r="G3" s="2">
        <v>1.9E-2</v>
      </c>
      <c r="H3">
        <f t="shared" ref="H3:H54" si="0">(44.693*G3)-0.4246</f>
        <v>0.42456699999999992</v>
      </c>
      <c r="I3">
        <v>20</v>
      </c>
      <c r="J3">
        <f t="shared" ref="J3:J33" si="1">H3*I3</f>
        <v>8.4913399999999974</v>
      </c>
      <c r="K3">
        <f t="shared" ref="K3:K66" si="2">MAX(J3,0)</f>
        <v>8.4913399999999974</v>
      </c>
    </row>
    <row r="4" spans="1:11" x14ac:dyDescent="0.25">
      <c r="A4" s="1">
        <v>45665</v>
      </c>
      <c r="B4" s="1">
        <v>45636</v>
      </c>
      <c r="C4" s="2">
        <v>1</v>
      </c>
      <c r="D4" s="2"/>
      <c r="E4" s="2">
        <v>3</v>
      </c>
      <c r="F4" t="s">
        <v>11</v>
      </c>
      <c r="G4" s="2">
        <v>4.0000000000000001E-3</v>
      </c>
      <c r="H4">
        <f t="shared" si="0"/>
        <v>-0.24582799999999999</v>
      </c>
      <c r="I4">
        <v>20</v>
      </c>
      <c r="J4">
        <f t="shared" si="1"/>
        <v>-4.9165599999999996</v>
      </c>
      <c r="K4">
        <f t="shared" si="2"/>
        <v>0</v>
      </c>
    </row>
    <row r="5" spans="1:11" x14ac:dyDescent="0.25">
      <c r="A5" s="1">
        <v>45665</v>
      </c>
      <c r="B5" s="1">
        <v>45636</v>
      </c>
      <c r="C5" s="2">
        <v>2</v>
      </c>
      <c r="D5" s="2"/>
      <c r="E5" s="2">
        <v>1</v>
      </c>
      <c r="F5" t="s">
        <v>11</v>
      </c>
      <c r="G5" s="2">
        <v>6.8000000000000005E-2</v>
      </c>
      <c r="H5">
        <f t="shared" si="0"/>
        <v>2.6145240000000003</v>
      </c>
      <c r="I5">
        <v>20</v>
      </c>
      <c r="J5">
        <f t="shared" si="1"/>
        <v>52.290480000000002</v>
      </c>
      <c r="K5">
        <f t="shared" si="2"/>
        <v>52.290480000000002</v>
      </c>
    </row>
    <row r="6" spans="1:11" x14ac:dyDescent="0.25">
      <c r="A6" s="1">
        <v>45665</v>
      </c>
      <c r="B6" s="1">
        <v>45636</v>
      </c>
      <c r="C6" s="2">
        <v>2</v>
      </c>
      <c r="D6" s="2"/>
      <c r="E6" s="2">
        <v>2</v>
      </c>
      <c r="F6" t="s">
        <v>11</v>
      </c>
      <c r="G6" s="2">
        <v>3.6999999999999998E-2</v>
      </c>
      <c r="H6">
        <f t="shared" si="0"/>
        <v>1.2290410000000001</v>
      </c>
      <c r="I6">
        <v>20</v>
      </c>
      <c r="J6">
        <f t="shared" si="1"/>
        <v>24.580820000000003</v>
      </c>
      <c r="K6">
        <f t="shared" si="2"/>
        <v>24.580820000000003</v>
      </c>
    </row>
    <row r="7" spans="1:11" x14ac:dyDescent="0.25">
      <c r="A7" s="1">
        <v>45665</v>
      </c>
      <c r="B7" s="1">
        <v>45636</v>
      </c>
      <c r="C7" s="2">
        <v>2</v>
      </c>
      <c r="D7" s="2"/>
      <c r="E7" s="2">
        <v>3</v>
      </c>
      <c r="F7" t="s">
        <v>11</v>
      </c>
      <c r="G7" s="2">
        <v>8.7999999999999995E-2</v>
      </c>
      <c r="H7">
        <f t="shared" si="0"/>
        <v>3.5083839999999995</v>
      </c>
      <c r="I7">
        <v>20</v>
      </c>
      <c r="J7">
        <f t="shared" si="1"/>
        <v>70.16767999999999</v>
      </c>
      <c r="K7">
        <f t="shared" si="2"/>
        <v>70.16767999999999</v>
      </c>
    </row>
    <row r="8" spans="1:11" x14ac:dyDescent="0.25">
      <c r="A8" s="1">
        <v>45665</v>
      </c>
      <c r="B8" s="1">
        <v>45636</v>
      </c>
      <c r="C8" s="2">
        <v>3</v>
      </c>
      <c r="D8" s="2"/>
      <c r="E8" s="2">
        <v>1</v>
      </c>
      <c r="F8" t="s">
        <v>11</v>
      </c>
      <c r="G8" s="2">
        <v>3.3000000000000002E-2</v>
      </c>
      <c r="H8">
        <f t="shared" si="0"/>
        <v>1.0502690000000001</v>
      </c>
      <c r="I8">
        <v>20</v>
      </c>
      <c r="J8">
        <f t="shared" si="1"/>
        <v>21.005380000000002</v>
      </c>
      <c r="K8">
        <f t="shared" si="2"/>
        <v>21.005380000000002</v>
      </c>
    </row>
    <row r="9" spans="1:11" x14ac:dyDescent="0.25">
      <c r="A9" s="1">
        <v>45665</v>
      </c>
      <c r="B9" s="1">
        <v>45636</v>
      </c>
      <c r="C9" s="2">
        <v>3</v>
      </c>
      <c r="D9" s="2"/>
      <c r="E9" s="2">
        <v>2</v>
      </c>
      <c r="F9" t="s">
        <v>11</v>
      </c>
      <c r="G9" s="2">
        <v>0.14199999999999999</v>
      </c>
      <c r="H9">
        <f t="shared" si="0"/>
        <v>5.9218059999999992</v>
      </c>
      <c r="I9">
        <v>20</v>
      </c>
      <c r="J9">
        <f t="shared" si="1"/>
        <v>118.43611999999999</v>
      </c>
      <c r="K9">
        <f t="shared" si="2"/>
        <v>118.43611999999999</v>
      </c>
    </row>
    <row r="10" spans="1:11" x14ac:dyDescent="0.25">
      <c r="A10" s="1">
        <v>45665</v>
      </c>
      <c r="B10" s="1">
        <v>45636</v>
      </c>
      <c r="C10" s="2">
        <v>3</v>
      </c>
      <c r="D10" s="2"/>
      <c r="E10" s="2">
        <v>3</v>
      </c>
      <c r="F10" t="s">
        <v>11</v>
      </c>
      <c r="G10" s="2">
        <v>3.5999999999999997E-2</v>
      </c>
      <c r="H10">
        <f t="shared" si="0"/>
        <v>1.184348</v>
      </c>
      <c r="I10">
        <v>20</v>
      </c>
      <c r="J10">
        <f t="shared" si="1"/>
        <v>23.686959999999999</v>
      </c>
      <c r="K10">
        <f t="shared" si="2"/>
        <v>23.686959999999999</v>
      </c>
    </row>
    <row r="11" spans="1:11" x14ac:dyDescent="0.25">
      <c r="A11" s="1">
        <v>45665</v>
      </c>
      <c r="B11" s="1">
        <v>45636</v>
      </c>
      <c r="C11" s="2">
        <v>4</v>
      </c>
      <c r="D11" s="2"/>
      <c r="E11" s="2">
        <v>1</v>
      </c>
      <c r="F11" t="s">
        <v>11</v>
      </c>
      <c r="G11" s="2">
        <v>1.7000000000000001E-2</v>
      </c>
      <c r="H11">
        <f t="shared" si="0"/>
        <v>0.33518100000000006</v>
      </c>
      <c r="I11">
        <v>20</v>
      </c>
      <c r="J11">
        <f t="shared" si="1"/>
        <v>6.7036200000000008</v>
      </c>
      <c r="K11">
        <f t="shared" si="2"/>
        <v>6.7036200000000008</v>
      </c>
    </row>
    <row r="12" spans="1:11" x14ac:dyDescent="0.25">
      <c r="A12" s="1">
        <v>45665</v>
      </c>
      <c r="B12" s="1">
        <v>45636</v>
      </c>
      <c r="C12" s="2">
        <v>4</v>
      </c>
      <c r="D12" s="2"/>
      <c r="E12" s="2">
        <v>2</v>
      </c>
      <c r="F12" t="s">
        <v>11</v>
      </c>
      <c r="G12" s="2">
        <v>4.0000000000000001E-3</v>
      </c>
      <c r="H12">
        <f t="shared" si="0"/>
        <v>-0.24582799999999999</v>
      </c>
      <c r="I12">
        <v>20</v>
      </c>
      <c r="J12">
        <f t="shared" si="1"/>
        <v>-4.9165599999999996</v>
      </c>
      <c r="K12">
        <f t="shared" si="2"/>
        <v>0</v>
      </c>
    </row>
    <row r="13" spans="1:11" x14ac:dyDescent="0.25">
      <c r="A13" s="1">
        <v>45665</v>
      </c>
      <c r="B13" s="1">
        <v>45636</v>
      </c>
      <c r="C13" s="2">
        <v>4</v>
      </c>
      <c r="D13" s="2"/>
      <c r="E13" s="2">
        <v>3</v>
      </c>
      <c r="F13" t="s">
        <v>11</v>
      </c>
      <c r="G13" s="2">
        <v>1.4E-2</v>
      </c>
      <c r="H13">
        <f t="shared" si="0"/>
        <v>0.201102</v>
      </c>
      <c r="I13">
        <v>20</v>
      </c>
      <c r="J13">
        <f t="shared" si="1"/>
        <v>4.0220400000000005</v>
      </c>
      <c r="K13">
        <f t="shared" si="2"/>
        <v>4.0220400000000005</v>
      </c>
    </row>
    <row r="14" spans="1:11" x14ac:dyDescent="0.25">
      <c r="A14" s="1">
        <v>45665</v>
      </c>
      <c r="B14" s="1">
        <v>45636</v>
      </c>
      <c r="C14" s="2">
        <v>5</v>
      </c>
      <c r="D14" s="2"/>
      <c r="E14" s="2">
        <v>1</v>
      </c>
      <c r="F14" t="s">
        <v>11</v>
      </c>
      <c r="G14" s="2">
        <v>8.9999999999999993E-3</v>
      </c>
      <c r="H14">
        <f t="shared" si="0"/>
        <v>-2.2363000000000022E-2</v>
      </c>
      <c r="I14">
        <v>20</v>
      </c>
      <c r="J14">
        <f t="shared" si="1"/>
        <v>-0.44726000000000043</v>
      </c>
      <c r="K14">
        <f t="shared" si="2"/>
        <v>0</v>
      </c>
    </row>
    <row r="15" spans="1:11" x14ac:dyDescent="0.25">
      <c r="A15" s="1">
        <v>45665</v>
      </c>
      <c r="B15" s="1">
        <v>45636</v>
      </c>
      <c r="C15" s="2">
        <v>5</v>
      </c>
      <c r="D15" s="2"/>
      <c r="E15" s="2">
        <v>2</v>
      </c>
      <c r="F15" t="s">
        <v>11</v>
      </c>
      <c r="G15" s="2">
        <v>1.9E-2</v>
      </c>
      <c r="H15">
        <f t="shared" si="0"/>
        <v>0.42456699999999992</v>
      </c>
      <c r="I15">
        <v>20</v>
      </c>
      <c r="J15">
        <f t="shared" si="1"/>
        <v>8.4913399999999974</v>
      </c>
      <c r="K15">
        <f t="shared" si="2"/>
        <v>8.4913399999999974</v>
      </c>
    </row>
    <row r="16" spans="1:11" x14ac:dyDescent="0.25">
      <c r="A16" s="1">
        <v>45665</v>
      </c>
      <c r="B16" s="1">
        <v>45636</v>
      </c>
      <c r="C16" s="2">
        <v>5</v>
      </c>
      <c r="D16" s="2"/>
      <c r="E16" s="2">
        <v>3</v>
      </c>
      <c r="F16" t="s">
        <v>11</v>
      </c>
      <c r="G16" s="2">
        <v>0.02</v>
      </c>
      <c r="H16">
        <f t="shared" si="0"/>
        <v>0.46926000000000001</v>
      </c>
      <c r="I16">
        <v>20</v>
      </c>
      <c r="J16">
        <f t="shared" si="1"/>
        <v>9.3852000000000011</v>
      </c>
      <c r="K16">
        <f t="shared" si="2"/>
        <v>9.3852000000000011</v>
      </c>
    </row>
    <row r="17" spans="1:11" x14ac:dyDescent="0.25">
      <c r="A17" s="1">
        <v>45665</v>
      </c>
      <c r="B17" s="1">
        <v>45636</v>
      </c>
      <c r="C17" s="2">
        <v>6</v>
      </c>
      <c r="D17" s="2"/>
      <c r="E17" s="2">
        <v>1</v>
      </c>
      <c r="F17" t="s">
        <v>11</v>
      </c>
      <c r="G17" s="2">
        <v>5.0000000000000001E-3</v>
      </c>
      <c r="H17">
        <f t="shared" si="0"/>
        <v>-0.20113499999999998</v>
      </c>
      <c r="I17">
        <v>20</v>
      </c>
      <c r="J17">
        <f t="shared" si="1"/>
        <v>-4.0226999999999995</v>
      </c>
      <c r="K17">
        <f t="shared" si="2"/>
        <v>0</v>
      </c>
    </row>
    <row r="18" spans="1:11" x14ac:dyDescent="0.25">
      <c r="A18" s="1">
        <v>45665</v>
      </c>
      <c r="B18" s="1">
        <v>45636</v>
      </c>
      <c r="C18" s="2">
        <v>6</v>
      </c>
      <c r="D18" s="2"/>
      <c r="E18" s="2">
        <v>2</v>
      </c>
      <c r="F18" t="s">
        <v>11</v>
      </c>
      <c r="G18" s="2">
        <v>2.3E-2</v>
      </c>
      <c r="H18">
        <f t="shared" si="0"/>
        <v>0.60333899999999996</v>
      </c>
      <c r="I18">
        <v>20</v>
      </c>
      <c r="J18">
        <f t="shared" si="1"/>
        <v>12.06678</v>
      </c>
      <c r="K18">
        <f t="shared" si="2"/>
        <v>12.06678</v>
      </c>
    </row>
    <row r="19" spans="1:11" x14ac:dyDescent="0.25">
      <c r="A19" s="1">
        <v>45665</v>
      </c>
      <c r="B19" s="1">
        <v>45636</v>
      </c>
      <c r="C19" s="2">
        <v>6</v>
      </c>
      <c r="D19" s="2"/>
      <c r="E19" s="2">
        <v>3</v>
      </c>
      <c r="F19" t="s">
        <v>11</v>
      </c>
      <c r="G19" s="2">
        <v>8.9999999999999993E-3</v>
      </c>
      <c r="H19">
        <f t="shared" si="0"/>
        <v>-2.2363000000000022E-2</v>
      </c>
      <c r="I19">
        <v>20</v>
      </c>
      <c r="J19">
        <f t="shared" si="1"/>
        <v>-0.44726000000000043</v>
      </c>
      <c r="K19">
        <f t="shared" si="2"/>
        <v>0</v>
      </c>
    </row>
    <row r="20" spans="1:11" x14ac:dyDescent="0.25">
      <c r="A20" s="1">
        <v>45665</v>
      </c>
      <c r="B20" s="1">
        <v>45637</v>
      </c>
      <c r="C20" t="s">
        <v>12</v>
      </c>
      <c r="E20" t="s">
        <v>13</v>
      </c>
      <c r="F20" t="s">
        <v>11</v>
      </c>
      <c r="G20" s="2">
        <v>4.0000000000000001E-3</v>
      </c>
      <c r="H20">
        <f t="shared" si="0"/>
        <v>-0.24582799999999999</v>
      </c>
      <c r="I20">
        <v>20</v>
      </c>
      <c r="J20">
        <f t="shared" si="1"/>
        <v>-4.9165599999999996</v>
      </c>
      <c r="K20">
        <f t="shared" si="2"/>
        <v>0</v>
      </c>
    </row>
    <row r="21" spans="1:11" x14ac:dyDescent="0.25">
      <c r="A21" s="1">
        <v>45665</v>
      </c>
      <c r="B21" s="1">
        <v>45637</v>
      </c>
      <c r="C21" t="s">
        <v>12</v>
      </c>
      <c r="E21" t="s">
        <v>14</v>
      </c>
      <c r="F21" t="s">
        <v>11</v>
      </c>
      <c r="G21" s="2">
        <v>1.4999999999999999E-2</v>
      </c>
      <c r="H21">
        <f t="shared" si="0"/>
        <v>0.24579499999999999</v>
      </c>
      <c r="I21">
        <v>20</v>
      </c>
      <c r="J21">
        <f t="shared" si="1"/>
        <v>4.9158999999999997</v>
      </c>
      <c r="K21">
        <f t="shared" si="2"/>
        <v>4.9158999999999997</v>
      </c>
    </row>
    <row r="22" spans="1:11" x14ac:dyDescent="0.25">
      <c r="A22" s="1">
        <v>45665</v>
      </c>
      <c r="B22" s="1">
        <v>45637</v>
      </c>
      <c r="C22" t="s">
        <v>12</v>
      </c>
      <c r="E22" t="s">
        <v>15</v>
      </c>
      <c r="F22" t="s">
        <v>11</v>
      </c>
      <c r="G22" s="2">
        <v>2.7E-2</v>
      </c>
      <c r="H22">
        <f t="shared" si="0"/>
        <v>0.78211099999999989</v>
      </c>
      <c r="I22">
        <v>20</v>
      </c>
      <c r="J22">
        <f t="shared" si="1"/>
        <v>15.642219999999998</v>
      </c>
      <c r="K22">
        <f t="shared" si="2"/>
        <v>15.642219999999998</v>
      </c>
    </row>
    <row r="23" spans="1:11" x14ac:dyDescent="0.25">
      <c r="A23" s="1">
        <v>45665</v>
      </c>
      <c r="B23" s="1">
        <v>45637</v>
      </c>
      <c r="C23" t="s">
        <v>12</v>
      </c>
      <c r="E23" t="s">
        <v>16</v>
      </c>
      <c r="F23" t="s">
        <v>11</v>
      </c>
      <c r="G23" s="2">
        <v>1.2E-2</v>
      </c>
      <c r="H23">
        <f t="shared" si="0"/>
        <v>0.11171600000000004</v>
      </c>
      <c r="I23">
        <v>20</v>
      </c>
      <c r="J23">
        <f t="shared" si="1"/>
        <v>2.2343200000000007</v>
      </c>
      <c r="K23">
        <f t="shared" si="2"/>
        <v>2.2343200000000007</v>
      </c>
    </row>
    <row r="24" spans="1:11" x14ac:dyDescent="0.25">
      <c r="A24" s="1">
        <v>45665</v>
      </c>
      <c r="B24" s="1">
        <v>45637</v>
      </c>
      <c r="C24" t="s">
        <v>12</v>
      </c>
      <c r="E24" t="s">
        <v>17</v>
      </c>
      <c r="F24" t="s">
        <v>11</v>
      </c>
      <c r="G24" s="2">
        <v>0.03</v>
      </c>
      <c r="H24">
        <f t="shared" si="0"/>
        <v>0.91618999999999995</v>
      </c>
      <c r="I24">
        <v>20</v>
      </c>
      <c r="J24">
        <f t="shared" si="1"/>
        <v>18.323799999999999</v>
      </c>
      <c r="K24">
        <f t="shared" si="2"/>
        <v>18.323799999999999</v>
      </c>
    </row>
    <row r="25" spans="1:11" x14ac:dyDescent="0.25">
      <c r="A25" s="1">
        <v>45665</v>
      </c>
      <c r="B25" s="1">
        <v>45637</v>
      </c>
      <c r="C25" t="s">
        <v>12</v>
      </c>
      <c r="E25" t="s">
        <v>12</v>
      </c>
      <c r="F25" t="s">
        <v>11</v>
      </c>
      <c r="G25" s="2">
        <v>0.01</v>
      </c>
      <c r="H25">
        <f t="shared" si="0"/>
        <v>2.2330000000000017E-2</v>
      </c>
      <c r="I25">
        <v>20</v>
      </c>
      <c r="J25">
        <f t="shared" si="1"/>
        <v>0.44660000000000033</v>
      </c>
      <c r="K25">
        <f t="shared" si="2"/>
        <v>0.44660000000000033</v>
      </c>
    </row>
    <row r="26" spans="1:11" x14ac:dyDescent="0.25">
      <c r="A26" s="1">
        <v>45665</v>
      </c>
      <c r="B26" s="1">
        <v>45637</v>
      </c>
      <c r="C26" t="s">
        <v>12</v>
      </c>
      <c r="E26" t="s">
        <v>18</v>
      </c>
      <c r="F26" t="s">
        <v>11</v>
      </c>
      <c r="G26" s="2">
        <v>6.0000000000000001E-3</v>
      </c>
      <c r="H26">
        <f t="shared" si="0"/>
        <v>-0.15644199999999997</v>
      </c>
      <c r="I26">
        <v>20</v>
      </c>
      <c r="J26">
        <f t="shared" si="1"/>
        <v>-3.1288399999999994</v>
      </c>
      <c r="K26">
        <f t="shared" si="2"/>
        <v>0</v>
      </c>
    </row>
    <row r="27" spans="1:11" x14ac:dyDescent="0.25">
      <c r="A27" s="1">
        <v>45665</v>
      </c>
      <c r="B27" s="1">
        <v>45637</v>
      </c>
      <c r="C27" t="s">
        <v>12</v>
      </c>
      <c r="E27" t="s">
        <v>19</v>
      </c>
      <c r="F27" t="s">
        <v>11</v>
      </c>
      <c r="G27" s="2">
        <v>5.0000000000000001E-3</v>
      </c>
      <c r="H27">
        <f t="shared" si="0"/>
        <v>-0.20113499999999998</v>
      </c>
      <c r="I27">
        <v>20</v>
      </c>
      <c r="J27">
        <f t="shared" si="1"/>
        <v>-4.0226999999999995</v>
      </c>
      <c r="K27">
        <f t="shared" si="2"/>
        <v>0</v>
      </c>
    </row>
    <row r="28" spans="1:11" x14ac:dyDescent="0.25">
      <c r="A28" s="1">
        <v>45665</v>
      </c>
      <c r="B28" s="1">
        <v>45637</v>
      </c>
      <c r="C28" t="s">
        <v>12</v>
      </c>
      <c r="E28" t="s">
        <v>20</v>
      </c>
      <c r="F28" t="s">
        <v>11</v>
      </c>
      <c r="G28" s="2">
        <v>1.2999999999999999E-2</v>
      </c>
      <c r="H28">
        <f t="shared" si="0"/>
        <v>0.15640900000000002</v>
      </c>
      <c r="I28">
        <v>20</v>
      </c>
      <c r="J28">
        <f t="shared" si="1"/>
        <v>3.1281800000000004</v>
      </c>
      <c r="K28">
        <f t="shared" si="2"/>
        <v>3.1281800000000004</v>
      </c>
    </row>
    <row r="29" spans="1:11" x14ac:dyDescent="0.25">
      <c r="A29" s="1">
        <v>45665</v>
      </c>
      <c r="B29" s="1">
        <v>45637</v>
      </c>
      <c r="C29" t="s">
        <v>12</v>
      </c>
      <c r="E29" t="s">
        <v>21</v>
      </c>
      <c r="F29" t="s">
        <v>11</v>
      </c>
      <c r="G29" s="2">
        <v>0.01</v>
      </c>
      <c r="H29">
        <f t="shared" si="0"/>
        <v>2.2330000000000017E-2</v>
      </c>
      <c r="I29">
        <v>20</v>
      </c>
      <c r="J29">
        <f t="shared" si="1"/>
        <v>0.44660000000000033</v>
      </c>
      <c r="K29">
        <f t="shared" si="2"/>
        <v>0.44660000000000033</v>
      </c>
    </row>
    <row r="30" spans="1:11" x14ac:dyDescent="0.25">
      <c r="A30" s="1">
        <v>45665</v>
      </c>
      <c r="B30" s="1">
        <v>45637</v>
      </c>
      <c r="C30" t="s">
        <v>12</v>
      </c>
      <c r="E30" t="s">
        <v>22</v>
      </c>
      <c r="F30" t="s">
        <v>11</v>
      </c>
      <c r="G30" s="2">
        <v>8.9999999999999993E-3</v>
      </c>
      <c r="H30">
        <f t="shared" si="0"/>
        <v>-2.2363000000000022E-2</v>
      </c>
      <c r="I30">
        <v>20</v>
      </c>
      <c r="J30">
        <f t="shared" si="1"/>
        <v>-0.44726000000000043</v>
      </c>
      <c r="K30">
        <f t="shared" si="2"/>
        <v>0</v>
      </c>
    </row>
    <row r="31" spans="1:11" x14ac:dyDescent="0.25">
      <c r="A31" s="1">
        <v>45665</v>
      </c>
      <c r="B31" s="1">
        <v>45637</v>
      </c>
      <c r="C31" t="s">
        <v>12</v>
      </c>
      <c r="E31" t="s">
        <v>23</v>
      </c>
      <c r="F31" t="s">
        <v>11</v>
      </c>
      <c r="G31" s="2">
        <v>7.0000000000000001E-3</v>
      </c>
      <c r="H31">
        <f t="shared" si="0"/>
        <v>-0.11174899999999999</v>
      </c>
      <c r="I31">
        <v>20</v>
      </c>
      <c r="J31">
        <f t="shared" si="1"/>
        <v>-2.2349799999999997</v>
      </c>
      <c r="K31">
        <f t="shared" si="2"/>
        <v>0</v>
      </c>
    </row>
    <row r="32" spans="1:11" x14ac:dyDescent="0.25">
      <c r="A32" s="1">
        <v>45665</v>
      </c>
      <c r="B32" s="1">
        <v>45637</v>
      </c>
      <c r="C32" t="s">
        <v>12</v>
      </c>
      <c r="E32" t="s">
        <v>24</v>
      </c>
      <c r="F32" t="s">
        <v>11</v>
      </c>
      <c r="G32" s="2">
        <v>2.7E-2</v>
      </c>
      <c r="H32">
        <f t="shared" si="0"/>
        <v>0.78211099999999989</v>
      </c>
      <c r="I32">
        <v>20</v>
      </c>
      <c r="J32">
        <f t="shared" si="1"/>
        <v>15.642219999999998</v>
      </c>
      <c r="K32">
        <f t="shared" si="2"/>
        <v>15.642219999999998</v>
      </c>
    </row>
    <row r="33" spans="1:11" x14ac:dyDescent="0.25">
      <c r="A33" s="1">
        <v>45665</v>
      </c>
      <c r="B33" s="1">
        <v>45637</v>
      </c>
      <c r="C33" t="s">
        <v>12</v>
      </c>
      <c r="E33" t="s">
        <v>25</v>
      </c>
      <c r="F33" t="s">
        <v>11</v>
      </c>
      <c r="G33" s="2">
        <v>1.7000000000000001E-2</v>
      </c>
      <c r="H33">
        <f t="shared" si="0"/>
        <v>0.33518100000000006</v>
      </c>
      <c r="I33">
        <v>20</v>
      </c>
      <c r="J33">
        <f t="shared" si="1"/>
        <v>6.7036200000000008</v>
      </c>
      <c r="K33">
        <f t="shared" si="2"/>
        <v>6.7036200000000008</v>
      </c>
    </row>
    <row r="34" spans="1:11" x14ac:dyDescent="0.25">
      <c r="A34" s="1">
        <v>45665</v>
      </c>
      <c r="B34" s="1">
        <v>45637</v>
      </c>
      <c r="C34" t="s">
        <v>12</v>
      </c>
      <c r="E34" t="s">
        <v>26</v>
      </c>
      <c r="F34" t="s">
        <v>11</v>
      </c>
      <c r="G34" s="2">
        <v>1.4999999999999999E-2</v>
      </c>
      <c r="H34">
        <f t="shared" si="0"/>
        <v>0.24579499999999999</v>
      </c>
      <c r="I34">
        <v>20</v>
      </c>
      <c r="J34">
        <f t="shared" ref="J34:J58" si="3">H34*I34</f>
        <v>4.9158999999999997</v>
      </c>
      <c r="K34">
        <f t="shared" si="2"/>
        <v>4.9158999999999997</v>
      </c>
    </row>
    <row r="35" spans="1:11" x14ac:dyDescent="0.25">
      <c r="A35" s="1">
        <v>45665</v>
      </c>
      <c r="B35" s="1">
        <v>45637</v>
      </c>
      <c r="C35" t="s">
        <v>12</v>
      </c>
      <c r="E35" t="s">
        <v>27</v>
      </c>
      <c r="F35" t="s">
        <v>11</v>
      </c>
      <c r="G35" s="2">
        <v>2.1000000000000001E-2</v>
      </c>
      <c r="H35">
        <f t="shared" si="0"/>
        <v>0.51395299999999999</v>
      </c>
      <c r="I35">
        <v>20</v>
      </c>
      <c r="J35">
        <f t="shared" si="3"/>
        <v>10.279059999999999</v>
      </c>
      <c r="K35">
        <f t="shared" si="2"/>
        <v>10.279059999999999</v>
      </c>
    </row>
    <row r="36" spans="1:11" x14ac:dyDescent="0.25">
      <c r="A36" s="1">
        <v>45665</v>
      </c>
      <c r="B36" s="1">
        <v>45637</v>
      </c>
      <c r="C36" t="s">
        <v>12</v>
      </c>
      <c r="E36" t="s">
        <v>28</v>
      </c>
      <c r="F36" t="s">
        <v>11</v>
      </c>
      <c r="G36" s="2">
        <v>2.1000000000000001E-2</v>
      </c>
      <c r="H36">
        <f t="shared" si="0"/>
        <v>0.51395299999999999</v>
      </c>
      <c r="I36">
        <v>20</v>
      </c>
      <c r="J36">
        <f t="shared" si="3"/>
        <v>10.279059999999999</v>
      </c>
      <c r="K36">
        <f t="shared" si="2"/>
        <v>10.279059999999999</v>
      </c>
    </row>
    <row r="37" spans="1:11" x14ac:dyDescent="0.25">
      <c r="A37" s="1">
        <v>45665</v>
      </c>
      <c r="B37" s="1">
        <v>45637</v>
      </c>
      <c r="C37" t="s">
        <v>12</v>
      </c>
      <c r="E37" t="s">
        <v>29</v>
      </c>
      <c r="F37" t="s">
        <v>11</v>
      </c>
      <c r="G37" s="2">
        <v>0.16700000000000001</v>
      </c>
      <c r="H37">
        <f t="shared" si="0"/>
        <v>7.0391310000000002</v>
      </c>
      <c r="I37">
        <v>20</v>
      </c>
      <c r="J37">
        <f t="shared" si="3"/>
        <v>140.78262000000001</v>
      </c>
      <c r="K37">
        <f t="shared" si="2"/>
        <v>140.78262000000001</v>
      </c>
    </row>
    <row r="38" spans="1:11" x14ac:dyDescent="0.25">
      <c r="A38" s="1">
        <v>45665</v>
      </c>
      <c r="B38" s="1">
        <v>45637</v>
      </c>
      <c r="C38" t="s">
        <v>30</v>
      </c>
      <c r="E38" t="s">
        <v>13</v>
      </c>
      <c r="F38" t="s">
        <v>11</v>
      </c>
      <c r="G38" s="2">
        <v>5.8000000000000003E-2</v>
      </c>
      <c r="H38">
        <f t="shared" si="0"/>
        <v>2.1675940000000002</v>
      </c>
      <c r="I38">
        <v>20</v>
      </c>
      <c r="J38">
        <f t="shared" si="3"/>
        <v>43.351880000000008</v>
      </c>
      <c r="K38">
        <f t="shared" si="2"/>
        <v>43.351880000000008</v>
      </c>
    </row>
    <row r="39" spans="1:11" x14ac:dyDescent="0.25">
      <c r="A39" s="1">
        <v>45665</v>
      </c>
      <c r="B39" s="1">
        <v>45637</v>
      </c>
      <c r="C39" t="s">
        <v>30</v>
      </c>
      <c r="E39" t="s">
        <v>14</v>
      </c>
      <c r="F39" t="s">
        <v>11</v>
      </c>
      <c r="G39" s="2">
        <v>0.06</v>
      </c>
      <c r="H39">
        <f t="shared" si="0"/>
        <v>2.25698</v>
      </c>
      <c r="I39">
        <v>20</v>
      </c>
      <c r="J39">
        <f t="shared" si="3"/>
        <v>45.139600000000002</v>
      </c>
      <c r="K39">
        <f t="shared" si="2"/>
        <v>45.139600000000002</v>
      </c>
    </row>
    <row r="40" spans="1:11" x14ac:dyDescent="0.25">
      <c r="A40" s="1">
        <v>45665</v>
      </c>
      <c r="B40" s="1">
        <v>45637</v>
      </c>
      <c r="C40" t="s">
        <v>30</v>
      </c>
      <c r="E40" t="s">
        <v>15</v>
      </c>
      <c r="F40" t="s">
        <v>11</v>
      </c>
      <c r="G40" s="2">
        <v>2.4E-2</v>
      </c>
      <c r="H40">
        <f t="shared" si="0"/>
        <v>0.64803200000000005</v>
      </c>
      <c r="I40">
        <v>20</v>
      </c>
      <c r="J40">
        <f t="shared" si="3"/>
        <v>12.960640000000001</v>
      </c>
      <c r="K40">
        <f t="shared" si="2"/>
        <v>12.960640000000001</v>
      </c>
    </row>
    <row r="41" spans="1:11" x14ac:dyDescent="0.25">
      <c r="A41" s="1">
        <v>45665</v>
      </c>
      <c r="B41" s="1">
        <v>45637</v>
      </c>
      <c r="C41" t="s">
        <v>30</v>
      </c>
      <c r="E41" t="s">
        <v>16</v>
      </c>
      <c r="F41" t="s">
        <v>11</v>
      </c>
      <c r="G41" s="2">
        <v>1.4999999999999999E-2</v>
      </c>
      <c r="H41">
        <f t="shared" si="0"/>
        <v>0.24579499999999999</v>
      </c>
      <c r="I41">
        <v>20</v>
      </c>
      <c r="J41">
        <f t="shared" si="3"/>
        <v>4.9158999999999997</v>
      </c>
      <c r="K41">
        <f t="shared" si="2"/>
        <v>4.9158999999999997</v>
      </c>
    </row>
    <row r="42" spans="1:11" x14ac:dyDescent="0.25">
      <c r="A42" s="1">
        <v>45665</v>
      </c>
      <c r="B42" s="1">
        <v>45637</v>
      </c>
      <c r="C42" t="s">
        <v>30</v>
      </c>
      <c r="E42" t="s">
        <v>17</v>
      </c>
      <c r="F42" t="s">
        <v>11</v>
      </c>
      <c r="G42" s="2">
        <v>3.5999999999999997E-2</v>
      </c>
      <c r="H42">
        <f t="shared" si="0"/>
        <v>1.184348</v>
      </c>
      <c r="I42">
        <v>20</v>
      </c>
      <c r="J42">
        <f t="shared" si="3"/>
        <v>23.686959999999999</v>
      </c>
      <c r="K42">
        <f t="shared" si="2"/>
        <v>23.686959999999999</v>
      </c>
    </row>
    <row r="43" spans="1:11" x14ac:dyDescent="0.25">
      <c r="A43" s="1">
        <v>45665</v>
      </c>
      <c r="B43" s="1">
        <v>45637</v>
      </c>
      <c r="C43" t="s">
        <v>30</v>
      </c>
      <c r="E43" t="s">
        <v>12</v>
      </c>
      <c r="F43" t="s">
        <v>11</v>
      </c>
      <c r="G43" s="2">
        <v>1.2999999999999999E-2</v>
      </c>
      <c r="H43">
        <f t="shared" si="0"/>
        <v>0.15640900000000002</v>
      </c>
      <c r="I43">
        <v>20</v>
      </c>
      <c r="J43">
        <f t="shared" si="3"/>
        <v>3.1281800000000004</v>
      </c>
      <c r="K43">
        <f t="shared" si="2"/>
        <v>3.1281800000000004</v>
      </c>
    </row>
    <row r="44" spans="1:11" x14ac:dyDescent="0.25">
      <c r="A44" s="1">
        <v>45665</v>
      </c>
      <c r="B44" s="1">
        <v>45637</v>
      </c>
      <c r="C44" t="s">
        <v>30</v>
      </c>
      <c r="E44" t="s">
        <v>18</v>
      </c>
      <c r="F44" t="s">
        <v>11</v>
      </c>
      <c r="G44" s="2">
        <v>6.0000000000000001E-3</v>
      </c>
      <c r="H44">
        <f t="shared" si="0"/>
        <v>-0.15644199999999997</v>
      </c>
      <c r="I44">
        <v>20</v>
      </c>
      <c r="J44">
        <f t="shared" si="3"/>
        <v>-3.1288399999999994</v>
      </c>
      <c r="K44">
        <f t="shared" si="2"/>
        <v>0</v>
      </c>
    </row>
    <row r="45" spans="1:11" x14ac:dyDescent="0.25">
      <c r="A45" s="1">
        <v>45665</v>
      </c>
      <c r="B45" s="1">
        <v>45637</v>
      </c>
      <c r="C45" t="s">
        <v>30</v>
      </c>
      <c r="E45" t="s">
        <v>19</v>
      </c>
      <c r="F45" t="s">
        <v>11</v>
      </c>
      <c r="G45" s="2">
        <v>1.2999999999999999E-2</v>
      </c>
      <c r="H45">
        <f t="shared" si="0"/>
        <v>0.15640900000000002</v>
      </c>
      <c r="I45">
        <v>20</v>
      </c>
      <c r="J45">
        <f t="shared" si="3"/>
        <v>3.1281800000000004</v>
      </c>
      <c r="K45">
        <f t="shared" si="2"/>
        <v>3.1281800000000004</v>
      </c>
    </row>
    <row r="46" spans="1:11" x14ac:dyDescent="0.25">
      <c r="A46" s="1">
        <v>45665</v>
      </c>
      <c r="B46" s="1">
        <v>45637</v>
      </c>
      <c r="C46" t="s">
        <v>30</v>
      </c>
      <c r="E46" t="s">
        <v>20</v>
      </c>
      <c r="F46" t="s">
        <v>11</v>
      </c>
      <c r="G46" s="2">
        <v>6.0000000000000001E-3</v>
      </c>
      <c r="H46">
        <f t="shared" si="0"/>
        <v>-0.15644199999999997</v>
      </c>
      <c r="I46">
        <v>20</v>
      </c>
      <c r="J46">
        <f t="shared" si="3"/>
        <v>-3.1288399999999994</v>
      </c>
      <c r="K46">
        <f t="shared" si="2"/>
        <v>0</v>
      </c>
    </row>
    <row r="47" spans="1:11" x14ac:dyDescent="0.25">
      <c r="A47" s="1">
        <v>45665</v>
      </c>
      <c r="B47" s="1">
        <v>45637</v>
      </c>
      <c r="C47" t="s">
        <v>30</v>
      </c>
      <c r="E47" t="s">
        <v>21</v>
      </c>
      <c r="F47" t="s">
        <v>11</v>
      </c>
      <c r="G47" s="2">
        <v>5.0000000000000001E-3</v>
      </c>
      <c r="H47">
        <f t="shared" si="0"/>
        <v>-0.20113499999999998</v>
      </c>
      <c r="I47">
        <v>20</v>
      </c>
      <c r="J47">
        <f t="shared" si="3"/>
        <v>-4.0226999999999995</v>
      </c>
      <c r="K47">
        <f t="shared" si="2"/>
        <v>0</v>
      </c>
    </row>
    <row r="48" spans="1:11" x14ac:dyDescent="0.25">
      <c r="A48" s="1">
        <v>45665</v>
      </c>
      <c r="B48" s="1">
        <v>45637</v>
      </c>
      <c r="C48" t="s">
        <v>30</v>
      </c>
      <c r="E48" t="s">
        <v>22</v>
      </c>
      <c r="F48" t="s">
        <v>11</v>
      </c>
      <c r="G48" s="2">
        <v>0.01</v>
      </c>
      <c r="H48">
        <f t="shared" si="0"/>
        <v>2.2330000000000017E-2</v>
      </c>
      <c r="I48">
        <v>20</v>
      </c>
      <c r="J48">
        <f t="shared" si="3"/>
        <v>0.44660000000000033</v>
      </c>
      <c r="K48">
        <f t="shared" si="2"/>
        <v>0.44660000000000033</v>
      </c>
    </row>
    <row r="49" spans="1:11" x14ac:dyDescent="0.25">
      <c r="A49" s="1">
        <v>45665</v>
      </c>
      <c r="B49" s="1">
        <v>45637</v>
      </c>
      <c r="C49" t="s">
        <v>30</v>
      </c>
      <c r="E49" t="s">
        <v>23</v>
      </c>
      <c r="F49" t="s">
        <v>11</v>
      </c>
      <c r="G49" s="2">
        <v>4.0000000000000001E-3</v>
      </c>
      <c r="H49">
        <f t="shared" si="0"/>
        <v>-0.24582799999999999</v>
      </c>
      <c r="I49">
        <v>20</v>
      </c>
      <c r="J49">
        <f t="shared" si="3"/>
        <v>-4.9165599999999996</v>
      </c>
      <c r="K49">
        <f t="shared" si="2"/>
        <v>0</v>
      </c>
    </row>
    <row r="50" spans="1:11" x14ac:dyDescent="0.25">
      <c r="A50" s="1">
        <v>45665</v>
      </c>
      <c r="B50" s="1">
        <v>45637</v>
      </c>
      <c r="C50" t="s">
        <v>30</v>
      </c>
      <c r="E50" t="s">
        <v>24</v>
      </c>
      <c r="F50" t="s">
        <v>11</v>
      </c>
      <c r="G50" s="2">
        <v>2E-3</v>
      </c>
      <c r="H50">
        <f t="shared" si="0"/>
        <v>-0.33521400000000001</v>
      </c>
      <c r="I50">
        <v>20</v>
      </c>
      <c r="J50">
        <f t="shared" si="3"/>
        <v>-6.7042800000000007</v>
      </c>
      <c r="K50">
        <f t="shared" si="2"/>
        <v>0</v>
      </c>
    </row>
    <row r="51" spans="1:11" x14ac:dyDescent="0.25">
      <c r="A51" s="1">
        <v>45665</v>
      </c>
      <c r="B51" s="1">
        <v>45637</v>
      </c>
      <c r="C51" t="s">
        <v>30</v>
      </c>
      <c r="E51" t="s">
        <v>25</v>
      </c>
      <c r="F51" t="s">
        <v>11</v>
      </c>
      <c r="G51" s="2">
        <v>0.01</v>
      </c>
      <c r="H51">
        <f t="shared" si="0"/>
        <v>2.2330000000000017E-2</v>
      </c>
      <c r="I51">
        <v>20</v>
      </c>
      <c r="J51">
        <f t="shared" si="3"/>
        <v>0.44660000000000033</v>
      </c>
      <c r="K51">
        <f t="shared" si="2"/>
        <v>0.44660000000000033</v>
      </c>
    </row>
    <row r="52" spans="1:11" x14ac:dyDescent="0.25">
      <c r="A52" s="1">
        <v>45665</v>
      </c>
      <c r="B52" s="1">
        <v>45637</v>
      </c>
      <c r="C52" t="s">
        <v>30</v>
      </c>
      <c r="E52" t="s">
        <v>26</v>
      </c>
      <c r="F52" t="s">
        <v>11</v>
      </c>
      <c r="G52" s="2">
        <v>4.0000000000000001E-3</v>
      </c>
      <c r="H52">
        <f t="shared" si="0"/>
        <v>-0.24582799999999999</v>
      </c>
      <c r="I52">
        <v>20</v>
      </c>
      <c r="J52">
        <f t="shared" si="3"/>
        <v>-4.9165599999999996</v>
      </c>
      <c r="K52">
        <f t="shared" si="2"/>
        <v>0</v>
      </c>
    </row>
    <row r="53" spans="1:11" x14ac:dyDescent="0.25">
      <c r="A53" s="1">
        <v>45665</v>
      </c>
      <c r="B53" s="1">
        <v>45637</v>
      </c>
      <c r="C53" t="s">
        <v>30</v>
      </c>
      <c r="E53" t="s">
        <v>27</v>
      </c>
      <c r="F53" t="s">
        <v>11</v>
      </c>
      <c r="G53" s="2">
        <v>2E-3</v>
      </c>
      <c r="H53">
        <f t="shared" si="0"/>
        <v>-0.33521400000000001</v>
      </c>
      <c r="I53">
        <v>20</v>
      </c>
      <c r="J53">
        <f t="shared" si="3"/>
        <v>-6.7042800000000007</v>
      </c>
      <c r="K53">
        <f t="shared" si="2"/>
        <v>0</v>
      </c>
    </row>
    <row r="54" spans="1:11" x14ac:dyDescent="0.25">
      <c r="A54" s="1">
        <v>45665</v>
      </c>
      <c r="B54" s="1">
        <v>45637</v>
      </c>
      <c r="C54" t="s">
        <v>30</v>
      </c>
      <c r="E54" t="s">
        <v>28</v>
      </c>
      <c r="F54" t="s">
        <v>11</v>
      </c>
      <c r="G54" s="2">
        <v>1E-3</v>
      </c>
      <c r="H54">
        <f t="shared" si="0"/>
        <v>-0.37990699999999999</v>
      </c>
      <c r="I54">
        <v>20</v>
      </c>
      <c r="J54">
        <f t="shared" si="3"/>
        <v>-7.5981399999999999</v>
      </c>
      <c r="K54">
        <f t="shared" si="2"/>
        <v>0</v>
      </c>
    </row>
    <row r="55" spans="1:11" x14ac:dyDescent="0.25">
      <c r="A55" s="1">
        <v>45665</v>
      </c>
      <c r="B55" s="1">
        <v>45637</v>
      </c>
      <c r="C55" t="s">
        <v>30</v>
      </c>
      <c r="E55" t="s">
        <v>29</v>
      </c>
      <c r="F55" t="s">
        <v>11</v>
      </c>
      <c r="G55" s="2">
        <v>8.0000000000000002E-3</v>
      </c>
      <c r="H55">
        <f>(44.693*G55)-0.4246</f>
        <v>-6.7056000000000004E-2</v>
      </c>
      <c r="I55">
        <v>20</v>
      </c>
      <c r="J55">
        <f t="shared" si="3"/>
        <v>-1.3411200000000001</v>
      </c>
      <c r="K55">
        <f t="shared" si="2"/>
        <v>0</v>
      </c>
    </row>
    <row r="56" spans="1:11" x14ac:dyDescent="0.25">
      <c r="A56" s="1">
        <v>45735</v>
      </c>
      <c r="B56" s="1">
        <v>45729</v>
      </c>
      <c r="C56" t="s">
        <v>34</v>
      </c>
      <c r="D56" t="s">
        <v>36</v>
      </c>
      <c r="E56" t="s">
        <v>39</v>
      </c>
      <c r="F56" t="s">
        <v>46</v>
      </c>
      <c r="G56" s="2">
        <v>1.2E-2</v>
      </c>
      <c r="H56">
        <f>(46.282*G56)-0.1769</f>
        <v>0.37848399999999999</v>
      </c>
      <c r="I56">
        <v>21</v>
      </c>
      <c r="J56">
        <f t="shared" si="3"/>
        <v>7.9481639999999993</v>
      </c>
      <c r="K56">
        <f t="shared" si="2"/>
        <v>7.9481639999999993</v>
      </c>
    </row>
    <row r="57" spans="1:11" x14ac:dyDescent="0.25">
      <c r="A57" s="1">
        <v>45735</v>
      </c>
      <c r="B57" s="1">
        <v>45729</v>
      </c>
      <c r="C57" t="s">
        <v>34</v>
      </c>
      <c r="D57" t="s">
        <v>37</v>
      </c>
      <c r="E57" t="s">
        <v>39</v>
      </c>
      <c r="F57" t="s">
        <v>46</v>
      </c>
      <c r="G57" s="2">
        <v>6.0000000000000001E-3</v>
      </c>
      <c r="H57">
        <f>(46.282*G57)-0.1769</f>
        <v>0.10079199999999999</v>
      </c>
      <c r="I57">
        <v>21</v>
      </c>
      <c r="J57">
        <f t="shared" si="3"/>
        <v>2.1166320000000001</v>
      </c>
      <c r="K57">
        <f t="shared" si="2"/>
        <v>2.1166320000000001</v>
      </c>
    </row>
    <row r="58" spans="1:11" x14ac:dyDescent="0.25">
      <c r="A58" s="1">
        <v>45735</v>
      </c>
      <c r="B58" s="1">
        <v>45729</v>
      </c>
      <c r="C58" t="s">
        <v>34</v>
      </c>
      <c r="D58" t="s">
        <v>36</v>
      </c>
      <c r="E58" t="s">
        <v>40</v>
      </c>
      <c r="F58" t="s">
        <v>46</v>
      </c>
      <c r="G58" s="2">
        <v>2E-3</v>
      </c>
      <c r="H58">
        <f t="shared" ref="H58:H121" si="4">(46.282*G58)-0.1769</f>
        <v>-8.4336000000000008E-2</v>
      </c>
      <c r="I58">
        <v>21</v>
      </c>
      <c r="J58">
        <f t="shared" si="3"/>
        <v>-1.7710560000000002</v>
      </c>
      <c r="K58">
        <f t="shared" si="2"/>
        <v>0</v>
      </c>
    </row>
    <row r="59" spans="1:11" x14ac:dyDescent="0.25">
      <c r="A59" s="1">
        <v>45735</v>
      </c>
      <c r="B59" s="1">
        <v>45729</v>
      </c>
      <c r="C59" t="s">
        <v>34</v>
      </c>
      <c r="D59" t="s">
        <v>37</v>
      </c>
      <c r="E59" t="s">
        <v>40</v>
      </c>
      <c r="F59" t="s">
        <v>46</v>
      </c>
      <c r="G59" s="2">
        <v>1.6E-2</v>
      </c>
      <c r="H59">
        <f t="shared" si="4"/>
        <v>0.563612</v>
      </c>
      <c r="I59">
        <v>21</v>
      </c>
      <c r="J59">
        <f t="shared" ref="J59:J121" si="5">H59*I59</f>
        <v>11.835851999999999</v>
      </c>
      <c r="K59">
        <f t="shared" si="2"/>
        <v>11.835851999999999</v>
      </c>
    </row>
    <row r="60" spans="1:11" x14ac:dyDescent="0.25">
      <c r="A60" s="1">
        <v>45735</v>
      </c>
      <c r="B60" s="1">
        <v>45729</v>
      </c>
      <c r="C60" t="s">
        <v>34</v>
      </c>
      <c r="D60" t="s">
        <v>36</v>
      </c>
      <c r="E60" t="s">
        <v>41</v>
      </c>
      <c r="F60" t="s">
        <v>46</v>
      </c>
      <c r="G60" s="2">
        <v>0.158</v>
      </c>
      <c r="H60">
        <f t="shared" si="4"/>
        <v>7.135656</v>
      </c>
      <c r="I60">
        <v>21</v>
      </c>
      <c r="J60">
        <f t="shared" si="5"/>
        <v>149.84877599999999</v>
      </c>
      <c r="K60">
        <f t="shared" si="2"/>
        <v>149.84877599999999</v>
      </c>
    </row>
    <row r="61" spans="1:11" x14ac:dyDescent="0.25">
      <c r="A61" s="1">
        <v>45735</v>
      </c>
      <c r="B61" s="1">
        <v>45729</v>
      </c>
      <c r="C61" t="s">
        <v>34</v>
      </c>
      <c r="D61" t="s">
        <v>37</v>
      </c>
      <c r="E61" t="s">
        <v>41</v>
      </c>
      <c r="F61" t="s">
        <v>46</v>
      </c>
      <c r="G61" s="2">
        <v>7.5999999999999998E-2</v>
      </c>
      <c r="H61">
        <f t="shared" si="4"/>
        <v>3.3405319999999996</v>
      </c>
      <c r="I61">
        <v>21</v>
      </c>
      <c r="J61">
        <f t="shared" si="5"/>
        <v>70.151171999999988</v>
      </c>
      <c r="K61">
        <f t="shared" si="2"/>
        <v>70.151171999999988</v>
      </c>
    </row>
    <row r="62" spans="1:11" x14ac:dyDescent="0.25">
      <c r="A62" s="1">
        <v>45735</v>
      </c>
      <c r="B62" s="1">
        <v>45729</v>
      </c>
      <c r="C62" t="s">
        <v>34</v>
      </c>
      <c r="D62" t="s">
        <v>36</v>
      </c>
      <c r="E62" t="s">
        <v>42</v>
      </c>
      <c r="F62" t="s">
        <v>46</v>
      </c>
      <c r="G62" s="2">
        <v>1.7999999999999999E-2</v>
      </c>
      <c r="H62">
        <f t="shared" si="4"/>
        <v>0.65617599999999987</v>
      </c>
      <c r="I62">
        <v>21</v>
      </c>
      <c r="J62">
        <f t="shared" si="5"/>
        <v>13.779695999999998</v>
      </c>
      <c r="K62">
        <f t="shared" si="2"/>
        <v>13.779695999999998</v>
      </c>
    </row>
    <row r="63" spans="1:11" x14ac:dyDescent="0.25">
      <c r="A63" s="1">
        <v>45735</v>
      </c>
      <c r="B63" s="1">
        <v>45729</v>
      </c>
      <c r="C63" t="s">
        <v>34</v>
      </c>
      <c r="D63" t="s">
        <v>37</v>
      </c>
      <c r="E63" t="s">
        <v>42</v>
      </c>
      <c r="F63" t="s">
        <v>46</v>
      </c>
      <c r="G63" s="2">
        <v>2.5000000000000001E-2</v>
      </c>
      <c r="H63">
        <f t="shared" si="4"/>
        <v>0.98014999999999985</v>
      </c>
      <c r="I63">
        <v>21</v>
      </c>
      <c r="J63">
        <f t="shared" si="5"/>
        <v>20.583149999999996</v>
      </c>
      <c r="K63">
        <f t="shared" si="2"/>
        <v>20.583149999999996</v>
      </c>
    </row>
    <row r="64" spans="1:11" x14ac:dyDescent="0.25">
      <c r="A64" s="1">
        <v>45735</v>
      </c>
      <c r="B64" s="1">
        <v>45729</v>
      </c>
      <c r="C64" t="s">
        <v>34</v>
      </c>
      <c r="D64" t="s">
        <v>36</v>
      </c>
      <c r="E64" t="s">
        <v>43</v>
      </c>
      <c r="F64" t="s">
        <v>46</v>
      </c>
      <c r="G64" s="2">
        <v>0.01</v>
      </c>
      <c r="H64">
        <f t="shared" si="4"/>
        <v>0.28591999999999995</v>
      </c>
      <c r="I64">
        <v>21</v>
      </c>
      <c r="J64">
        <f t="shared" si="5"/>
        <v>6.004319999999999</v>
      </c>
      <c r="K64">
        <f t="shared" si="2"/>
        <v>6.004319999999999</v>
      </c>
    </row>
    <row r="65" spans="1:11" x14ac:dyDescent="0.25">
      <c r="A65" s="1">
        <v>45735</v>
      </c>
      <c r="B65" s="1">
        <v>45729</v>
      </c>
      <c r="C65" t="s">
        <v>34</v>
      </c>
      <c r="D65" t="s">
        <v>37</v>
      </c>
      <c r="E65" t="s">
        <v>43</v>
      </c>
      <c r="F65" t="s">
        <v>46</v>
      </c>
      <c r="G65" s="2">
        <v>1.7999999999999999E-2</v>
      </c>
      <c r="H65">
        <f t="shared" si="4"/>
        <v>0.65617599999999987</v>
      </c>
      <c r="I65">
        <v>21</v>
      </c>
      <c r="J65">
        <f t="shared" si="5"/>
        <v>13.779695999999998</v>
      </c>
      <c r="K65">
        <f t="shared" si="2"/>
        <v>13.779695999999998</v>
      </c>
    </row>
    <row r="66" spans="1:11" x14ac:dyDescent="0.25">
      <c r="A66" s="1">
        <v>45735</v>
      </c>
      <c r="B66" s="1">
        <v>45729</v>
      </c>
      <c r="C66" t="s">
        <v>34</v>
      </c>
      <c r="D66" t="s">
        <v>36</v>
      </c>
      <c r="E66" t="s">
        <v>44</v>
      </c>
      <c r="F66" t="s">
        <v>46</v>
      </c>
      <c r="G66" s="2">
        <v>1.2999999999999999E-2</v>
      </c>
      <c r="H66">
        <f t="shared" si="4"/>
        <v>0.42476599999999992</v>
      </c>
      <c r="I66">
        <v>21</v>
      </c>
      <c r="J66">
        <f t="shared" si="5"/>
        <v>8.9200859999999977</v>
      </c>
      <c r="K66">
        <f t="shared" si="2"/>
        <v>8.9200859999999977</v>
      </c>
    </row>
    <row r="67" spans="1:11" x14ac:dyDescent="0.25">
      <c r="A67" s="1">
        <v>45735</v>
      </c>
      <c r="B67" s="1">
        <v>45729</v>
      </c>
      <c r="C67" t="s">
        <v>34</v>
      </c>
      <c r="D67" t="s">
        <v>37</v>
      </c>
      <c r="E67" t="s">
        <v>44</v>
      </c>
      <c r="F67" t="s">
        <v>46</v>
      </c>
      <c r="G67" s="2">
        <v>2.5999999999999999E-2</v>
      </c>
      <c r="H67">
        <f t="shared" si="4"/>
        <v>1.0264319999999998</v>
      </c>
      <c r="I67">
        <v>21</v>
      </c>
      <c r="J67">
        <f t="shared" si="5"/>
        <v>21.555071999999996</v>
      </c>
      <c r="K67">
        <f t="shared" ref="K67:K130" si="6">MAX(J67,0)</f>
        <v>21.555071999999996</v>
      </c>
    </row>
    <row r="68" spans="1:11" x14ac:dyDescent="0.25">
      <c r="A68" s="1">
        <v>45735</v>
      </c>
      <c r="B68" s="1">
        <v>45730</v>
      </c>
      <c r="C68" t="s">
        <v>45</v>
      </c>
      <c r="D68" t="s">
        <v>36</v>
      </c>
      <c r="E68" t="s">
        <v>39</v>
      </c>
      <c r="F68" t="s">
        <v>46</v>
      </c>
      <c r="G68" s="2">
        <v>1.4999999999999999E-2</v>
      </c>
      <c r="H68">
        <f t="shared" si="4"/>
        <v>0.51732999999999985</v>
      </c>
      <c r="I68">
        <v>21</v>
      </c>
      <c r="J68">
        <f t="shared" si="5"/>
        <v>10.863929999999996</v>
      </c>
      <c r="K68">
        <f t="shared" si="6"/>
        <v>10.863929999999996</v>
      </c>
    </row>
    <row r="69" spans="1:11" x14ac:dyDescent="0.25">
      <c r="A69" s="1">
        <v>45735</v>
      </c>
      <c r="B69" s="1">
        <v>45730</v>
      </c>
      <c r="C69" t="s">
        <v>45</v>
      </c>
      <c r="D69" t="s">
        <v>37</v>
      </c>
      <c r="E69" t="s">
        <v>39</v>
      </c>
      <c r="F69" t="s">
        <v>46</v>
      </c>
      <c r="G69" s="2">
        <v>8.9999999999999993E-3</v>
      </c>
      <c r="H69">
        <f t="shared" si="4"/>
        <v>0.23963799999999996</v>
      </c>
      <c r="I69">
        <v>21</v>
      </c>
      <c r="J69">
        <f t="shared" si="5"/>
        <v>5.0323979999999988</v>
      </c>
      <c r="K69">
        <f t="shared" si="6"/>
        <v>5.0323979999999988</v>
      </c>
    </row>
    <row r="70" spans="1:11" x14ac:dyDescent="0.25">
      <c r="A70" s="1">
        <v>45735</v>
      </c>
      <c r="B70" s="1">
        <v>45730</v>
      </c>
      <c r="C70" t="s">
        <v>45</v>
      </c>
      <c r="D70" t="s">
        <v>35</v>
      </c>
      <c r="E70" t="s">
        <v>39</v>
      </c>
      <c r="F70" t="s">
        <v>46</v>
      </c>
      <c r="G70" s="3"/>
      <c r="H70" s="3"/>
      <c r="I70">
        <v>41</v>
      </c>
      <c r="J70">
        <f t="shared" si="5"/>
        <v>0</v>
      </c>
      <c r="K70">
        <f t="shared" si="6"/>
        <v>0</v>
      </c>
    </row>
    <row r="71" spans="1:11" x14ac:dyDescent="0.25">
      <c r="A71" s="1">
        <v>45735</v>
      </c>
      <c r="B71" s="1">
        <v>45730</v>
      </c>
      <c r="C71" t="s">
        <v>45</v>
      </c>
      <c r="D71" t="s">
        <v>38</v>
      </c>
      <c r="E71" t="s">
        <v>39</v>
      </c>
      <c r="F71" t="s">
        <v>46</v>
      </c>
      <c r="G71" s="3"/>
      <c r="H71" s="3"/>
      <c r="I71">
        <v>41</v>
      </c>
      <c r="J71">
        <f t="shared" si="5"/>
        <v>0</v>
      </c>
      <c r="K71">
        <f t="shared" si="6"/>
        <v>0</v>
      </c>
    </row>
    <row r="72" spans="1:11" x14ac:dyDescent="0.25">
      <c r="A72" s="1">
        <v>45735</v>
      </c>
      <c r="B72" s="1">
        <v>45730</v>
      </c>
      <c r="C72" t="s">
        <v>45</v>
      </c>
      <c r="D72" t="s">
        <v>36</v>
      </c>
      <c r="E72" t="s">
        <v>40</v>
      </c>
      <c r="F72" t="s">
        <v>46</v>
      </c>
      <c r="G72" s="2">
        <v>9.1999999999999998E-2</v>
      </c>
      <c r="H72">
        <f t="shared" si="4"/>
        <v>4.0810439999999994</v>
      </c>
      <c r="I72">
        <v>21</v>
      </c>
      <c r="J72">
        <f t="shared" si="5"/>
        <v>85.701923999999991</v>
      </c>
      <c r="K72">
        <f t="shared" si="6"/>
        <v>85.701923999999991</v>
      </c>
    </row>
    <row r="73" spans="1:11" x14ac:dyDescent="0.25">
      <c r="A73" s="1">
        <v>45735</v>
      </c>
      <c r="B73" s="1">
        <v>45730</v>
      </c>
      <c r="C73" t="s">
        <v>45</v>
      </c>
      <c r="D73" t="s">
        <v>37</v>
      </c>
      <c r="E73" t="s">
        <v>40</v>
      </c>
      <c r="F73" t="s">
        <v>46</v>
      </c>
      <c r="G73" s="2">
        <v>1.2E-2</v>
      </c>
      <c r="H73">
        <f t="shared" si="4"/>
        <v>0.37848399999999999</v>
      </c>
      <c r="I73">
        <v>21</v>
      </c>
      <c r="J73">
        <f t="shared" si="5"/>
        <v>7.9481639999999993</v>
      </c>
      <c r="K73">
        <f t="shared" si="6"/>
        <v>7.9481639999999993</v>
      </c>
    </row>
    <row r="74" spans="1:11" x14ac:dyDescent="0.25">
      <c r="A74" s="1">
        <v>45735</v>
      </c>
      <c r="B74" s="1">
        <v>45730</v>
      </c>
      <c r="C74" t="s">
        <v>45</v>
      </c>
      <c r="D74" t="s">
        <v>35</v>
      </c>
      <c r="E74" t="s">
        <v>40</v>
      </c>
      <c r="F74" t="s">
        <v>46</v>
      </c>
      <c r="G74" s="2">
        <v>1.4999999999999999E-2</v>
      </c>
      <c r="H74">
        <f t="shared" si="4"/>
        <v>0.51732999999999985</v>
      </c>
      <c r="I74">
        <v>41</v>
      </c>
      <c r="J74">
        <f t="shared" si="5"/>
        <v>21.210529999999995</v>
      </c>
      <c r="K74">
        <f t="shared" si="6"/>
        <v>21.210529999999995</v>
      </c>
    </row>
    <row r="75" spans="1:11" x14ac:dyDescent="0.25">
      <c r="A75" s="1">
        <v>45735</v>
      </c>
      <c r="B75" s="1">
        <v>45730</v>
      </c>
      <c r="C75" t="s">
        <v>45</v>
      </c>
      <c r="D75" t="s">
        <v>38</v>
      </c>
      <c r="E75" t="s">
        <v>40</v>
      </c>
      <c r="F75" t="s">
        <v>46</v>
      </c>
      <c r="G75" s="2">
        <v>0</v>
      </c>
      <c r="H75">
        <f t="shared" si="4"/>
        <v>-0.1769</v>
      </c>
      <c r="I75">
        <v>41</v>
      </c>
      <c r="J75">
        <f t="shared" si="5"/>
        <v>-7.2529000000000003</v>
      </c>
      <c r="K75">
        <f t="shared" si="6"/>
        <v>0</v>
      </c>
    </row>
    <row r="76" spans="1:11" x14ac:dyDescent="0.25">
      <c r="A76" s="1">
        <v>45735</v>
      </c>
      <c r="B76" s="1">
        <v>45730</v>
      </c>
      <c r="C76" t="s">
        <v>45</v>
      </c>
      <c r="D76" t="s">
        <v>36</v>
      </c>
      <c r="E76" s="1" t="s">
        <v>41</v>
      </c>
      <c r="F76" t="s">
        <v>46</v>
      </c>
      <c r="G76" s="2">
        <v>4.0000000000000001E-3</v>
      </c>
      <c r="H76">
        <f t="shared" si="4"/>
        <v>8.2279999999999853E-3</v>
      </c>
      <c r="I76">
        <v>21</v>
      </c>
      <c r="J76">
        <f t="shared" si="5"/>
        <v>0.17278799999999969</v>
      </c>
      <c r="K76">
        <f t="shared" si="6"/>
        <v>0.17278799999999969</v>
      </c>
    </row>
    <row r="77" spans="1:11" x14ac:dyDescent="0.25">
      <c r="A77" s="1">
        <v>45735</v>
      </c>
      <c r="B77" s="1">
        <v>45730</v>
      </c>
      <c r="C77" t="s">
        <v>45</v>
      </c>
      <c r="D77" t="s">
        <v>37</v>
      </c>
      <c r="E77" s="1" t="s">
        <v>41</v>
      </c>
      <c r="F77" t="s">
        <v>46</v>
      </c>
      <c r="G77" s="2">
        <v>0</v>
      </c>
      <c r="H77">
        <f t="shared" si="4"/>
        <v>-0.1769</v>
      </c>
      <c r="I77">
        <v>21</v>
      </c>
      <c r="J77">
        <f t="shared" si="5"/>
        <v>-3.7149000000000001</v>
      </c>
      <c r="K77">
        <f t="shared" si="6"/>
        <v>0</v>
      </c>
    </row>
    <row r="78" spans="1:11" x14ac:dyDescent="0.25">
      <c r="A78" s="1">
        <v>45735</v>
      </c>
      <c r="B78" s="1">
        <v>45730</v>
      </c>
      <c r="C78" t="s">
        <v>45</v>
      </c>
      <c r="D78" t="s">
        <v>35</v>
      </c>
      <c r="E78" s="1" t="s">
        <v>41</v>
      </c>
      <c r="F78" t="s">
        <v>46</v>
      </c>
      <c r="G78" s="2">
        <v>6.0000000000000001E-3</v>
      </c>
      <c r="H78">
        <f t="shared" si="4"/>
        <v>0.10079199999999999</v>
      </c>
      <c r="I78">
        <v>41</v>
      </c>
      <c r="J78">
        <f t="shared" si="5"/>
        <v>4.1324719999999999</v>
      </c>
      <c r="K78">
        <f t="shared" si="6"/>
        <v>4.1324719999999999</v>
      </c>
    </row>
    <row r="79" spans="1:11" x14ac:dyDescent="0.25">
      <c r="A79" s="1">
        <v>45735</v>
      </c>
      <c r="B79" s="1">
        <v>45730</v>
      </c>
      <c r="C79" t="s">
        <v>45</v>
      </c>
      <c r="D79" t="s">
        <v>38</v>
      </c>
      <c r="E79" s="1" t="s">
        <v>41</v>
      </c>
      <c r="F79" t="s">
        <v>46</v>
      </c>
      <c r="G79" s="2">
        <v>8.0000000000000002E-3</v>
      </c>
      <c r="H79">
        <f t="shared" si="4"/>
        <v>0.19335599999999997</v>
      </c>
      <c r="I79">
        <v>41</v>
      </c>
      <c r="J79">
        <f t="shared" si="5"/>
        <v>7.9275959999999985</v>
      </c>
      <c r="K79">
        <f t="shared" si="6"/>
        <v>7.9275959999999985</v>
      </c>
    </row>
    <row r="80" spans="1:11" x14ac:dyDescent="0.25">
      <c r="A80" s="1">
        <v>45735</v>
      </c>
      <c r="B80" s="1">
        <v>45730</v>
      </c>
      <c r="C80" t="s">
        <v>45</v>
      </c>
      <c r="D80" t="s">
        <v>36</v>
      </c>
      <c r="E80" s="1" t="s">
        <v>42</v>
      </c>
      <c r="F80" t="s">
        <v>46</v>
      </c>
      <c r="G80" s="2">
        <v>1.0999999999999999E-2</v>
      </c>
      <c r="H80">
        <f t="shared" si="4"/>
        <v>0.33220199999999994</v>
      </c>
      <c r="I80">
        <v>21</v>
      </c>
      <c r="J80">
        <f t="shared" si="5"/>
        <v>6.9762419999999992</v>
      </c>
      <c r="K80">
        <f t="shared" si="6"/>
        <v>6.9762419999999992</v>
      </c>
    </row>
    <row r="81" spans="1:11" x14ac:dyDescent="0.25">
      <c r="A81" s="1">
        <v>45735</v>
      </c>
      <c r="B81" s="1">
        <v>45730</v>
      </c>
      <c r="C81" t="s">
        <v>45</v>
      </c>
      <c r="D81" t="s">
        <v>37</v>
      </c>
      <c r="E81" s="1" t="s">
        <v>42</v>
      </c>
      <c r="F81" t="s">
        <v>46</v>
      </c>
      <c r="G81" s="2">
        <v>2E-3</v>
      </c>
      <c r="H81">
        <f t="shared" si="4"/>
        <v>-8.4336000000000008E-2</v>
      </c>
      <c r="I81">
        <v>21</v>
      </c>
      <c r="J81">
        <f t="shared" si="5"/>
        <v>-1.7710560000000002</v>
      </c>
      <c r="K81">
        <f t="shared" si="6"/>
        <v>0</v>
      </c>
    </row>
    <row r="82" spans="1:11" x14ac:dyDescent="0.25">
      <c r="A82" s="1">
        <v>45735</v>
      </c>
      <c r="B82" s="1">
        <v>45730</v>
      </c>
      <c r="C82" t="s">
        <v>45</v>
      </c>
      <c r="D82" t="s">
        <v>35</v>
      </c>
      <c r="E82" s="1" t="s">
        <v>42</v>
      </c>
      <c r="F82" t="s">
        <v>46</v>
      </c>
      <c r="G82" s="2">
        <v>1E-3</v>
      </c>
      <c r="H82">
        <f t="shared" si="4"/>
        <v>-0.13061800000000001</v>
      </c>
      <c r="I82">
        <v>41</v>
      </c>
      <c r="J82">
        <f t="shared" si="5"/>
        <v>-5.3553380000000006</v>
      </c>
      <c r="K82">
        <f t="shared" si="6"/>
        <v>0</v>
      </c>
    </row>
    <row r="83" spans="1:11" x14ac:dyDescent="0.25">
      <c r="A83" s="1">
        <v>45735</v>
      </c>
      <c r="B83" s="1">
        <v>45730</v>
      </c>
      <c r="C83" t="s">
        <v>45</v>
      </c>
      <c r="D83" t="s">
        <v>38</v>
      </c>
      <c r="E83" s="1" t="s">
        <v>42</v>
      </c>
      <c r="F83" t="s">
        <v>46</v>
      </c>
      <c r="G83" s="2">
        <v>5.0000000000000001E-3</v>
      </c>
      <c r="H83">
        <f t="shared" si="4"/>
        <v>5.4509999999999975E-2</v>
      </c>
      <c r="I83">
        <v>41</v>
      </c>
      <c r="J83">
        <f t="shared" si="5"/>
        <v>2.2349099999999988</v>
      </c>
      <c r="K83">
        <f t="shared" si="6"/>
        <v>2.2349099999999988</v>
      </c>
    </row>
    <row r="84" spans="1:11" x14ac:dyDescent="0.25">
      <c r="A84" s="1">
        <v>45735</v>
      </c>
      <c r="B84" s="1">
        <v>45730</v>
      </c>
      <c r="C84" t="s">
        <v>45</v>
      </c>
      <c r="D84" t="s">
        <v>36</v>
      </c>
      <c r="E84" s="1" t="s">
        <v>43</v>
      </c>
      <c r="F84" t="s">
        <v>46</v>
      </c>
      <c r="G84" s="2">
        <v>7.0000000000000001E-3</v>
      </c>
      <c r="H84">
        <f t="shared" si="4"/>
        <v>0.14707399999999998</v>
      </c>
      <c r="I84">
        <v>21</v>
      </c>
      <c r="J84">
        <f t="shared" si="5"/>
        <v>3.0885539999999998</v>
      </c>
      <c r="K84">
        <f t="shared" si="6"/>
        <v>3.0885539999999998</v>
      </c>
    </row>
    <row r="85" spans="1:11" x14ac:dyDescent="0.25">
      <c r="A85" s="1">
        <v>45735</v>
      </c>
      <c r="B85" s="1">
        <v>45730</v>
      </c>
      <c r="C85" t="s">
        <v>45</v>
      </c>
      <c r="D85" t="s">
        <v>37</v>
      </c>
      <c r="E85" s="1" t="s">
        <v>43</v>
      </c>
      <c r="F85" t="s">
        <v>46</v>
      </c>
      <c r="G85" s="2">
        <v>0</v>
      </c>
      <c r="H85">
        <f t="shared" si="4"/>
        <v>-0.1769</v>
      </c>
      <c r="I85">
        <v>21</v>
      </c>
      <c r="J85">
        <f t="shared" si="5"/>
        <v>-3.7149000000000001</v>
      </c>
      <c r="K85">
        <f t="shared" si="6"/>
        <v>0</v>
      </c>
    </row>
    <row r="86" spans="1:11" x14ac:dyDescent="0.25">
      <c r="A86" s="1">
        <v>45735</v>
      </c>
      <c r="B86" s="1">
        <v>45730</v>
      </c>
      <c r="C86" t="s">
        <v>45</v>
      </c>
      <c r="D86" t="s">
        <v>35</v>
      </c>
      <c r="E86" s="1" t="s">
        <v>43</v>
      </c>
      <c r="F86" t="s">
        <v>46</v>
      </c>
      <c r="G86" s="2">
        <v>0</v>
      </c>
      <c r="H86">
        <f t="shared" si="4"/>
        <v>-0.1769</v>
      </c>
      <c r="I86">
        <v>41</v>
      </c>
      <c r="J86">
        <f t="shared" si="5"/>
        <v>-7.2529000000000003</v>
      </c>
      <c r="K86">
        <f t="shared" si="6"/>
        <v>0</v>
      </c>
    </row>
    <row r="87" spans="1:11" x14ac:dyDescent="0.25">
      <c r="A87" s="1">
        <v>45735</v>
      </c>
      <c r="B87" s="1">
        <v>45730</v>
      </c>
      <c r="C87" t="s">
        <v>45</v>
      </c>
      <c r="D87" t="s">
        <v>38</v>
      </c>
      <c r="E87" s="1" t="s">
        <v>43</v>
      </c>
      <c r="F87" t="s">
        <v>46</v>
      </c>
      <c r="G87" s="2">
        <v>0</v>
      </c>
      <c r="H87">
        <f t="shared" si="4"/>
        <v>-0.1769</v>
      </c>
      <c r="I87">
        <v>41</v>
      </c>
      <c r="J87">
        <f t="shared" si="5"/>
        <v>-7.2529000000000003</v>
      </c>
      <c r="K87">
        <f t="shared" si="6"/>
        <v>0</v>
      </c>
    </row>
    <row r="88" spans="1:11" x14ac:dyDescent="0.25">
      <c r="A88" s="1">
        <v>45735</v>
      </c>
      <c r="B88" s="1">
        <v>45730</v>
      </c>
      <c r="C88" t="s">
        <v>45</v>
      </c>
      <c r="D88" t="s">
        <v>36</v>
      </c>
      <c r="E88" s="1" t="s">
        <v>44</v>
      </c>
      <c r="F88" t="s">
        <v>46</v>
      </c>
      <c r="G88" s="2">
        <v>0</v>
      </c>
      <c r="H88">
        <f t="shared" si="4"/>
        <v>-0.1769</v>
      </c>
      <c r="I88">
        <v>21</v>
      </c>
      <c r="J88">
        <f t="shared" si="5"/>
        <v>-3.7149000000000001</v>
      </c>
      <c r="K88">
        <f t="shared" si="6"/>
        <v>0</v>
      </c>
    </row>
    <row r="89" spans="1:11" x14ac:dyDescent="0.25">
      <c r="A89" s="1">
        <v>45735</v>
      </c>
      <c r="B89" s="1">
        <v>45730</v>
      </c>
      <c r="C89" t="s">
        <v>45</v>
      </c>
      <c r="D89" t="s">
        <v>37</v>
      </c>
      <c r="E89" s="1" t="s">
        <v>44</v>
      </c>
      <c r="F89" t="s">
        <v>46</v>
      </c>
      <c r="G89" s="2">
        <v>0</v>
      </c>
      <c r="H89">
        <f t="shared" si="4"/>
        <v>-0.1769</v>
      </c>
      <c r="I89">
        <v>21</v>
      </c>
      <c r="J89">
        <f t="shared" si="5"/>
        <v>-3.7149000000000001</v>
      </c>
      <c r="K89">
        <f t="shared" si="6"/>
        <v>0</v>
      </c>
    </row>
    <row r="90" spans="1:11" x14ac:dyDescent="0.25">
      <c r="A90" s="1">
        <v>45735</v>
      </c>
      <c r="B90" s="1">
        <v>45730</v>
      </c>
      <c r="C90" t="s">
        <v>45</v>
      </c>
      <c r="D90" t="s">
        <v>35</v>
      </c>
      <c r="E90" s="1" t="s">
        <v>44</v>
      </c>
      <c r="F90" t="s">
        <v>46</v>
      </c>
      <c r="G90" s="2">
        <v>1E-3</v>
      </c>
      <c r="H90">
        <f t="shared" si="4"/>
        <v>-0.13061800000000001</v>
      </c>
      <c r="I90">
        <v>41</v>
      </c>
      <c r="J90">
        <f t="shared" si="5"/>
        <v>-5.3553380000000006</v>
      </c>
      <c r="K90">
        <f t="shared" si="6"/>
        <v>0</v>
      </c>
    </row>
    <row r="91" spans="1:11" x14ac:dyDescent="0.25">
      <c r="A91" s="1">
        <v>45735</v>
      </c>
      <c r="B91" s="1">
        <v>45730</v>
      </c>
      <c r="C91" t="s">
        <v>45</v>
      </c>
      <c r="D91" t="s">
        <v>38</v>
      </c>
      <c r="E91" s="1" t="s">
        <v>44</v>
      </c>
      <c r="F91" t="s">
        <v>46</v>
      </c>
      <c r="G91" s="2">
        <v>0</v>
      </c>
      <c r="H91">
        <f t="shared" si="4"/>
        <v>-0.1769</v>
      </c>
      <c r="I91">
        <v>41</v>
      </c>
      <c r="J91">
        <f t="shared" si="5"/>
        <v>-7.2529000000000003</v>
      </c>
      <c r="K91">
        <f t="shared" si="6"/>
        <v>0</v>
      </c>
    </row>
    <row r="92" spans="1:11" x14ac:dyDescent="0.25">
      <c r="A92" s="1">
        <v>45735</v>
      </c>
      <c r="B92" s="1">
        <v>45731</v>
      </c>
      <c r="C92" s="1" t="s">
        <v>12</v>
      </c>
      <c r="D92" t="s">
        <v>36</v>
      </c>
      <c r="E92" t="s">
        <v>39</v>
      </c>
      <c r="F92" t="s">
        <v>46</v>
      </c>
      <c r="G92" s="2">
        <v>2.8000000000000001E-2</v>
      </c>
      <c r="H92">
        <f t="shared" si="4"/>
        <v>1.1189959999999999</v>
      </c>
      <c r="I92">
        <v>21</v>
      </c>
      <c r="J92">
        <f t="shared" si="5"/>
        <v>23.498915999999998</v>
      </c>
      <c r="K92">
        <f t="shared" si="6"/>
        <v>23.498915999999998</v>
      </c>
    </row>
    <row r="93" spans="1:11" x14ac:dyDescent="0.25">
      <c r="A93" s="1">
        <v>45735</v>
      </c>
      <c r="B93" s="1">
        <v>45731</v>
      </c>
      <c r="C93" s="1" t="s">
        <v>12</v>
      </c>
      <c r="D93" t="s">
        <v>37</v>
      </c>
      <c r="E93" t="s">
        <v>39</v>
      </c>
      <c r="F93" t="s">
        <v>46</v>
      </c>
      <c r="G93" s="2">
        <v>0</v>
      </c>
      <c r="H93">
        <f t="shared" si="4"/>
        <v>-0.1769</v>
      </c>
      <c r="I93">
        <v>21</v>
      </c>
      <c r="J93">
        <f t="shared" si="5"/>
        <v>-3.7149000000000001</v>
      </c>
      <c r="K93">
        <f t="shared" si="6"/>
        <v>0</v>
      </c>
    </row>
    <row r="94" spans="1:11" x14ac:dyDescent="0.25">
      <c r="A94" s="1">
        <v>45735</v>
      </c>
      <c r="B94" s="1">
        <v>45731</v>
      </c>
      <c r="C94" s="1" t="s">
        <v>12</v>
      </c>
      <c r="D94" t="s">
        <v>35</v>
      </c>
      <c r="E94" t="s">
        <v>39</v>
      </c>
      <c r="F94" t="s">
        <v>46</v>
      </c>
      <c r="G94" s="2">
        <v>0</v>
      </c>
      <c r="H94">
        <f t="shared" si="4"/>
        <v>-0.1769</v>
      </c>
      <c r="I94">
        <v>41</v>
      </c>
      <c r="J94">
        <f t="shared" si="5"/>
        <v>-7.2529000000000003</v>
      </c>
      <c r="K94">
        <f t="shared" si="6"/>
        <v>0</v>
      </c>
    </row>
    <row r="95" spans="1:11" x14ac:dyDescent="0.25">
      <c r="A95" s="1">
        <v>45735</v>
      </c>
      <c r="B95" s="1">
        <v>45731</v>
      </c>
      <c r="C95" s="1" t="s">
        <v>12</v>
      </c>
      <c r="D95" t="s">
        <v>38</v>
      </c>
      <c r="E95" t="s">
        <v>39</v>
      </c>
      <c r="F95" t="s">
        <v>46</v>
      </c>
      <c r="G95" s="2">
        <v>1E-3</v>
      </c>
      <c r="H95">
        <f t="shared" si="4"/>
        <v>-0.13061800000000001</v>
      </c>
      <c r="I95">
        <v>41</v>
      </c>
      <c r="J95">
        <f t="shared" si="5"/>
        <v>-5.3553380000000006</v>
      </c>
      <c r="K95">
        <f t="shared" si="6"/>
        <v>0</v>
      </c>
    </row>
    <row r="96" spans="1:11" x14ac:dyDescent="0.25">
      <c r="A96" s="1">
        <v>45735</v>
      </c>
      <c r="B96" s="1">
        <v>45731</v>
      </c>
      <c r="C96" s="1" t="s">
        <v>12</v>
      </c>
      <c r="D96" t="s">
        <v>36</v>
      </c>
      <c r="E96" t="s">
        <v>40</v>
      </c>
      <c r="F96" t="s">
        <v>46</v>
      </c>
      <c r="G96" s="2">
        <v>1E-3</v>
      </c>
      <c r="H96">
        <f t="shared" si="4"/>
        <v>-0.13061800000000001</v>
      </c>
      <c r="I96">
        <v>21</v>
      </c>
      <c r="J96">
        <f t="shared" si="5"/>
        <v>-2.7429780000000004</v>
      </c>
      <c r="K96">
        <f t="shared" si="6"/>
        <v>0</v>
      </c>
    </row>
    <row r="97" spans="1:11" x14ac:dyDescent="0.25">
      <c r="A97" s="1">
        <v>45735</v>
      </c>
      <c r="B97" s="1">
        <v>45731</v>
      </c>
      <c r="C97" s="1" t="s">
        <v>12</v>
      </c>
      <c r="D97" t="s">
        <v>37</v>
      </c>
      <c r="E97" t="s">
        <v>40</v>
      </c>
      <c r="F97" t="s">
        <v>46</v>
      </c>
      <c r="G97" s="2">
        <v>1.9E-2</v>
      </c>
      <c r="H97">
        <f t="shared" si="4"/>
        <v>0.7024579999999998</v>
      </c>
      <c r="I97">
        <v>21</v>
      </c>
      <c r="J97">
        <f t="shared" si="5"/>
        <v>14.751617999999995</v>
      </c>
      <c r="K97">
        <f t="shared" si="6"/>
        <v>14.751617999999995</v>
      </c>
    </row>
    <row r="98" spans="1:11" x14ac:dyDescent="0.25">
      <c r="A98" s="1">
        <v>45735</v>
      </c>
      <c r="B98" s="1">
        <v>45731</v>
      </c>
      <c r="C98" s="1" t="s">
        <v>12</v>
      </c>
      <c r="D98" t="s">
        <v>35</v>
      </c>
      <c r="E98" t="s">
        <v>40</v>
      </c>
      <c r="F98" t="s">
        <v>46</v>
      </c>
      <c r="G98" s="2">
        <v>3.0000000000000001E-3</v>
      </c>
      <c r="H98">
        <f t="shared" si="4"/>
        <v>-3.8054000000000004E-2</v>
      </c>
      <c r="I98">
        <v>41</v>
      </c>
      <c r="J98">
        <f t="shared" si="5"/>
        <v>-1.5602140000000002</v>
      </c>
      <c r="K98">
        <f t="shared" si="6"/>
        <v>0</v>
      </c>
    </row>
    <row r="99" spans="1:11" x14ac:dyDescent="0.25">
      <c r="A99" s="1">
        <v>45735</v>
      </c>
      <c r="B99" s="1">
        <v>45731</v>
      </c>
      <c r="C99" s="1" t="s">
        <v>12</v>
      </c>
      <c r="D99" t="s">
        <v>38</v>
      </c>
      <c r="E99" t="s">
        <v>40</v>
      </c>
      <c r="F99" t="s">
        <v>46</v>
      </c>
      <c r="G99" s="2">
        <v>5.0000000000000001E-3</v>
      </c>
      <c r="H99">
        <f t="shared" si="4"/>
        <v>5.4509999999999975E-2</v>
      </c>
      <c r="I99">
        <v>41</v>
      </c>
      <c r="J99">
        <f t="shared" si="5"/>
        <v>2.2349099999999988</v>
      </c>
      <c r="K99">
        <f t="shared" si="6"/>
        <v>2.2349099999999988</v>
      </c>
    </row>
    <row r="100" spans="1:11" x14ac:dyDescent="0.25">
      <c r="A100" s="1">
        <v>45735</v>
      </c>
      <c r="B100" s="1">
        <v>45731</v>
      </c>
      <c r="C100" s="1" t="s">
        <v>12</v>
      </c>
      <c r="D100" t="s">
        <v>36</v>
      </c>
      <c r="E100" s="1" t="s">
        <v>41</v>
      </c>
      <c r="F100" t="s">
        <v>46</v>
      </c>
      <c r="G100" s="2">
        <v>0</v>
      </c>
      <c r="H100">
        <f t="shared" si="4"/>
        <v>-0.1769</v>
      </c>
      <c r="I100">
        <v>21</v>
      </c>
      <c r="J100">
        <f t="shared" si="5"/>
        <v>-3.7149000000000001</v>
      </c>
      <c r="K100">
        <f t="shared" si="6"/>
        <v>0</v>
      </c>
    </row>
    <row r="101" spans="1:11" x14ac:dyDescent="0.25">
      <c r="A101" s="1">
        <v>45735</v>
      </c>
      <c r="B101" s="1">
        <v>45731</v>
      </c>
      <c r="C101" s="1" t="s">
        <v>12</v>
      </c>
      <c r="D101" t="s">
        <v>37</v>
      </c>
      <c r="E101" s="1" t="s">
        <v>41</v>
      </c>
      <c r="F101" t="s">
        <v>46</v>
      </c>
      <c r="G101" s="2">
        <v>0.01</v>
      </c>
      <c r="H101">
        <f t="shared" si="4"/>
        <v>0.28591999999999995</v>
      </c>
      <c r="I101">
        <v>21</v>
      </c>
      <c r="J101">
        <f t="shared" si="5"/>
        <v>6.004319999999999</v>
      </c>
      <c r="K101">
        <f t="shared" si="6"/>
        <v>6.004319999999999</v>
      </c>
    </row>
    <row r="102" spans="1:11" x14ac:dyDescent="0.25">
      <c r="A102" s="1">
        <v>45735</v>
      </c>
      <c r="B102" s="1">
        <v>45731</v>
      </c>
      <c r="C102" s="1" t="s">
        <v>12</v>
      </c>
      <c r="D102" t="s">
        <v>35</v>
      </c>
      <c r="E102" s="1" t="s">
        <v>41</v>
      </c>
      <c r="F102" t="s">
        <v>46</v>
      </c>
      <c r="G102" s="2">
        <v>7.0000000000000001E-3</v>
      </c>
      <c r="H102">
        <f t="shared" si="4"/>
        <v>0.14707399999999998</v>
      </c>
      <c r="I102">
        <v>41</v>
      </c>
      <c r="J102">
        <f t="shared" si="5"/>
        <v>6.0300339999999997</v>
      </c>
      <c r="K102">
        <f t="shared" si="6"/>
        <v>6.0300339999999997</v>
      </c>
    </row>
    <row r="103" spans="1:11" x14ac:dyDescent="0.25">
      <c r="A103" s="1">
        <v>45735</v>
      </c>
      <c r="B103" s="1">
        <v>45731</v>
      </c>
      <c r="C103" s="1" t="s">
        <v>12</v>
      </c>
      <c r="D103" t="s">
        <v>38</v>
      </c>
      <c r="E103" s="1" t="s">
        <v>41</v>
      </c>
      <c r="F103" t="s">
        <v>46</v>
      </c>
      <c r="G103" s="2">
        <v>0</v>
      </c>
      <c r="H103">
        <f t="shared" si="4"/>
        <v>-0.1769</v>
      </c>
      <c r="I103">
        <v>41</v>
      </c>
      <c r="J103">
        <f t="shared" si="5"/>
        <v>-7.2529000000000003</v>
      </c>
      <c r="K103">
        <f t="shared" si="6"/>
        <v>0</v>
      </c>
    </row>
    <row r="104" spans="1:11" x14ac:dyDescent="0.25">
      <c r="A104" s="1">
        <v>45735</v>
      </c>
      <c r="B104" s="1">
        <v>45731</v>
      </c>
      <c r="C104" s="1" t="s">
        <v>12</v>
      </c>
      <c r="D104" t="s">
        <v>36</v>
      </c>
      <c r="E104" s="1" t="s">
        <v>42</v>
      </c>
      <c r="F104" t="s">
        <v>46</v>
      </c>
      <c r="G104" s="2">
        <v>8.9999999999999993E-3</v>
      </c>
      <c r="H104">
        <f t="shared" si="4"/>
        <v>0.23963799999999996</v>
      </c>
      <c r="I104">
        <v>21</v>
      </c>
      <c r="J104">
        <f t="shared" si="5"/>
        <v>5.0323979999999988</v>
      </c>
      <c r="K104">
        <f t="shared" si="6"/>
        <v>5.0323979999999988</v>
      </c>
    </row>
    <row r="105" spans="1:11" x14ac:dyDescent="0.25">
      <c r="A105" s="1">
        <v>45735</v>
      </c>
      <c r="B105" s="1">
        <v>45731</v>
      </c>
      <c r="C105" s="1" t="s">
        <v>12</v>
      </c>
      <c r="D105" t="s">
        <v>37</v>
      </c>
      <c r="E105" s="1" t="s">
        <v>42</v>
      </c>
      <c r="F105" t="s">
        <v>46</v>
      </c>
      <c r="G105" s="2">
        <v>2E-3</v>
      </c>
      <c r="H105">
        <f t="shared" si="4"/>
        <v>-8.4336000000000008E-2</v>
      </c>
      <c r="I105">
        <v>21</v>
      </c>
      <c r="J105">
        <f t="shared" si="5"/>
        <v>-1.7710560000000002</v>
      </c>
      <c r="K105">
        <f t="shared" si="6"/>
        <v>0</v>
      </c>
    </row>
    <row r="106" spans="1:11" x14ac:dyDescent="0.25">
      <c r="A106" s="1">
        <v>45735</v>
      </c>
      <c r="B106" s="1">
        <v>45731</v>
      </c>
      <c r="C106" s="1" t="s">
        <v>12</v>
      </c>
      <c r="D106" t="s">
        <v>35</v>
      </c>
      <c r="E106" s="1" t="s">
        <v>42</v>
      </c>
      <c r="F106" t="s">
        <v>46</v>
      </c>
      <c r="G106" s="2">
        <v>0</v>
      </c>
      <c r="H106">
        <f t="shared" si="4"/>
        <v>-0.1769</v>
      </c>
      <c r="I106">
        <v>41</v>
      </c>
      <c r="J106">
        <f t="shared" si="5"/>
        <v>-7.2529000000000003</v>
      </c>
      <c r="K106">
        <f t="shared" si="6"/>
        <v>0</v>
      </c>
    </row>
    <row r="107" spans="1:11" x14ac:dyDescent="0.25">
      <c r="A107" s="1">
        <v>45735</v>
      </c>
      <c r="B107" s="1">
        <v>45731</v>
      </c>
      <c r="C107" s="1" t="s">
        <v>12</v>
      </c>
      <c r="D107" t="s">
        <v>38</v>
      </c>
      <c r="E107" s="1" t="s">
        <v>42</v>
      </c>
      <c r="F107" t="s">
        <v>46</v>
      </c>
      <c r="G107" s="2">
        <v>0</v>
      </c>
      <c r="H107">
        <f t="shared" si="4"/>
        <v>-0.1769</v>
      </c>
      <c r="I107">
        <v>41</v>
      </c>
      <c r="J107">
        <f t="shared" si="5"/>
        <v>-7.2529000000000003</v>
      </c>
      <c r="K107">
        <f t="shared" si="6"/>
        <v>0</v>
      </c>
    </row>
    <row r="108" spans="1:11" x14ac:dyDescent="0.25">
      <c r="A108" s="1">
        <v>45735</v>
      </c>
      <c r="B108" s="1">
        <v>45731</v>
      </c>
      <c r="C108" s="1" t="s">
        <v>12</v>
      </c>
      <c r="D108" t="s">
        <v>36</v>
      </c>
      <c r="E108" s="1" t="s">
        <v>43</v>
      </c>
      <c r="F108" t="s">
        <v>46</v>
      </c>
      <c r="G108" s="2">
        <v>0</v>
      </c>
      <c r="H108">
        <f t="shared" si="4"/>
        <v>-0.1769</v>
      </c>
      <c r="I108">
        <v>21</v>
      </c>
      <c r="J108">
        <f t="shared" si="5"/>
        <v>-3.7149000000000001</v>
      </c>
      <c r="K108">
        <f t="shared" si="6"/>
        <v>0</v>
      </c>
    </row>
    <row r="109" spans="1:11" x14ac:dyDescent="0.25">
      <c r="A109" s="1">
        <v>45735</v>
      </c>
      <c r="B109" s="1">
        <v>45731</v>
      </c>
      <c r="C109" s="1" t="s">
        <v>12</v>
      </c>
      <c r="D109" t="s">
        <v>37</v>
      </c>
      <c r="E109" s="1" t="s">
        <v>43</v>
      </c>
      <c r="F109" t="s">
        <v>46</v>
      </c>
      <c r="G109" s="2">
        <v>0</v>
      </c>
      <c r="H109">
        <f t="shared" si="4"/>
        <v>-0.1769</v>
      </c>
      <c r="I109">
        <v>21</v>
      </c>
      <c r="J109">
        <f t="shared" si="5"/>
        <v>-3.7149000000000001</v>
      </c>
      <c r="K109">
        <f t="shared" si="6"/>
        <v>0</v>
      </c>
    </row>
    <row r="110" spans="1:11" x14ac:dyDescent="0.25">
      <c r="A110" s="1">
        <v>45735</v>
      </c>
      <c r="B110" s="1">
        <v>45731</v>
      </c>
      <c r="C110" s="1" t="s">
        <v>12</v>
      </c>
      <c r="D110" t="s">
        <v>35</v>
      </c>
      <c r="E110" s="1" t="s">
        <v>43</v>
      </c>
      <c r="F110" t="s">
        <v>46</v>
      </c>
      <c r="G110" s="2">
        <v>8.0000000000000002E-3</v>
      </c>
      <c r="H110">
        <f t="shared" si="4"/>
        <v>0.19335599999999997</v>
      </c>
      <c r="I110">
        <v>41</v>
      </c>
      <c r="J110">
        <f t="shared" si="5"/>
        <v>7.9275959999999985</v>
      </c>
      <c r="K110">
        <f t="shared" si="6"/>
        <v>7.9275959999999985</v>
      </c>
    </row>
    <row r="111" spans="1:11" x14ac:dyDescent="0.25">
      <c r="A111" s="1">
        <v>45735</v>
      </c>
      <c r="B111" s="1">
        <v>45731</v>
      </c>
      <c r="C111" s="1" t="s">
        <v>12</v>
      </c>
      <c r="D111" t="s">
        <v>38</v>
      </c>
      <c r="E111" s="1" t="s">
        <v>43</v>
      </c>
      <c r="F111" t="s">
        <v>46</v>
      </c>
      <c r="G111" s="2">
        <v>0</v>
      </c>
      <c r="H111">
        <f t="shared" si="4"/>
        <v>-0.1769</v>
      </c>
      <c r="I111">
        <v>41</v>
      </c>
      <c r="J111">
        <f t="shared" si="5"/>
        <v>-7.2529000000000003</v>
      </c>
      <c r="K111">
        <f t="shared" si="6"/>
        <v>0</v>
      </c>
    </row>
    <row r="112" spans="1:11" x14ac:dyDescent="0.25">
      <c r="A112" s="1">
        <v>45735</v>
      </c>
      <c r="B112" s="1">
        <v>45731</v>
      </c>
      <c r="C112" s="1" t="s">
        <v>12</v>
      </c>
      <c r="D112" t="s">
        <v>36</v>
      </c>
      <c r="E112" s="1" t="s">
        <v>44</v>
      </c>
      <c r="F112" t="s">
        <v>46</v>
      </c>
      <c r="G112" s="2">
        <v>2E-3</v>
      </c>
      <c r="H112">
        <f t="shared" si="4"/>
        <v>-8.4336000000000008E-2</v>
      </c>
      <c r="I112">
        <v>21</v>
      </c>
      <c r="J112">
        <f t="shared" si="5"/>
        <v>-1.7710560000000002</v>
      </c>
      <c r="K112">
        <f t="shared" si="6"/>
        <v>0</v>
      </c>
    </row>
    <row r="113" spans="1:11" x14ac:dyDescent="0.25">
      <c r="A113" s="1">
        <v>45735</v>
      </c>
      <c r="B113" s="1">
        <v>45731</v>
      </c>
      <c r="C113" s="1" t="s">
        <v>12</v>
      </c>
      <c r="D113" t="s">
        <v>37</v>
      </c>
      <c r="E113" s="1" t="s">
        <v>44</v>
      </c>
      <c r="F113" t="s">
        <v>46</v>
      </c>
      <c r="G113" s="2">
        <v>1E-3</v>
      </c>
      <c r="H113">
        <f t="shared" si="4"/>
        <v>-0.13061800000000001</v>
      </c>
      <c r="I113">
        <v>21</v>
      </c>
      <c r="J113">
        <f t="shared" si="5"/>
        <v>-2.7429780000000004</v>
      </c>
      <c r="K113">
        <f t="shared" si="6"/>
        <v>0</v>
      </c>
    </row>
    <row r="114" spans="1:11" x14ac:dyDescent="0.25">
      <c r="A114" s="1">
        <v>45735</v>
      </c>
      <c r="B114" s="1">
        <v>45731</v>
      </c>
      <c r="C114" s="1" t="s">
        <v>12</v>
      </c>
      <c r="D114" t="s">
        <v>35</v>
      </c>
      <c r="E114" s="1" t="s">
        <v>44</v>
      </c>
      <c r="F114" t="s">
        <v>46</v>
      </c>
      <c r="G114" s="2">
        <v>0</v>
      </c>
      <c r="H114">
        <f t="shared" si="4"/>
        <v>-0.1769</v>
      </c>
      <c r="I114">
        <v>41</v>
      </c>
      <c r="J114">
        <f t="shared" si="5"/>
        <v>-7.2529000000000003</v>
      </c>
      <c r="K114">
        <f t="shared" si="6"/>
        <v>0</v>
      </c>
    </row>
    <row r="115" spans="1:11" x14ac:dyDescent="0.25">
      <c r="A115" s="1">
        <v>45735</v>
      </c>
      <c r="B115" s="1">
        <v>45731</v>
      </c>
      <c r="C115" s="1" t="s">
        <v>12</v>
      </c>
      <c r="D115" t="s">
        <v>38</v>
      </c>
      <c r="E115" s="1" t="s">
        <v>44</v>
      </c>
      <c r="F115" t="s">
        <v>46</v>
      </c>
      <c r="G115" s="2">
        <v>0</v>
      </c>
      <c r="H115">
        <f t="shared" si="4"/>
        <v>-0.1769</v>
      </c>
      <c r="I115">
        <v>41</v>
      </c>
      <c r="J115">
        <f t="shared" si="5"/>
        <v>-7.2529000000000003</v>
      </c>
      <c r="K115">
        <f t="shared" si="6"/>
        <v>0</v>
      </c>
    </row>
    <row r="116" spans="1:11" x14ac:dyDescent="0.25">
      <c r="A116" s="1">
        <v>45735</v>
      </c>
      <c r="B116" s="1">
        <v>45731</v>
      </c>
      <c r="C116" s="1" t="s">
        <v>30</v>
      </c>
      <c r="D116" t="s">
        <v>36</v>
      </c>
      <c r="E116" t="s">
        <v>39</v>
      </c>
      <c r="F116" t="s">
        <v>46</v>
      </c>
      <c r="G116" s="2">
        <v>9.1999999999999998E-2</v>
      </c>
      <c r="H116">
        <f t="shared" si="4"/>
        <v>4.0810439999999994</v>
      </c>
      <c r="I116">
        <v>21</v>
      </c>
      <c r="J116">
        <f t="shared" si="5"/>
        <v>85.701923999999991</v>
      </c>
      <c r="K116">
        <f t="shared" si="6"/>
        <v>85.701923999999991</v>
      </c>
    </row>
    <row r="117" spans="1:11" x14ac:dyDescent="0.25">
      <c r="A117" s="1">
        <v>45735</v>
      </c>
      <c r="B117" s="1">
        <v>45731</v>
      </c>
      <c r="C117" s="1" t="s">
        <v>30</v>
      </c>
      <c r="D117" t="s">
        <v>37</v>
      </c>
      <c r="E117" t="s">
        <v>39</v>
      </c>
      <c r="F117" t="s">
        <v>46</v>
      </c>
      <c r="G117" s="2">
        <v>6.4000000000000001E-2</v>
      </c>
      <c r="H117">
        <f t="shared" si="4"/>
        <v>2.785148</v>
      </c>
      <c r="I117">
        <v>21</v>
      </c>
      <c r="J117">
        <f t="shared" si="5"/>
        <v>58.488107999999997</v>
      </c>
      <c r="K117">
        <f t="shared" si="6"/>
        <v>58.488107999999997</v>
      </c>
    </row>
    <row r="118" spans="1:11" x14ac:dyDescent="0.25">
      <c r="A118" s="1">
        <v>45735</v>
      </c>
      <c r="B118" s="1">
        <v>45731</v>
      </c>
      <c r="C118" s="1" t="s">
        <v>30</v>
      </c>
      <c r="D118" t="s">
        <v>35</v>
      </c>
      <c r="E118" t="s">
        <v>39</v>
      </c>
      <c r="F118" t="s">
        <v>46</v>
      </c>
      <c r="G118" s="2">
        <v>0</v>
      </c>
      <c r="H118">
        <f t="shared" si="4"/>
        <v>-0.1769</v>
      </c>
      <c r="I118">
        <v>41</v>
      </c>
      <c r="J118">
        <f t="shared" si="5"/>
        <v>-7.2529000000000003</v>
      </c>
      <c r="K118">
        <f t="shared" si="6"/>
        <v>0</v>
      </c>
    </row>
    <row r="119" spans="1:11" x14ac:dyDescent="0.25">
      <c r="A119" s="1">
        <v>45735</v>
      </c>
      <c r="B119" s="1">
        <v>45731</v>
      </c>
      <c r="C119" s="1" t="s">
        <v>30</v>
      </c>
      <c r="D119" t="s">
        <v>38</v>
      </c>
      <c r="E119" t="s">
        <v>39</v>
      </c>
      <c r="F119" t="s">
        <v>46</v>
      </c>
      <c r="G119" s="2">
        <v>0</v>
      </c>
      <c r="H119">
        <f t="shared" si="4"/>
        <v>-0.1769</v>
      </c>
      <c r="I119">
        <v>41</v>
      </c>
      <c r="J119">
        <f t="shared" si="5"/>
        <v>-7.2529000000000003</v>
      </c>
      <c r="K119">
        <f t="shared" si="6"/>
        <v>0</v>
      </c>
    </row>
    <row r="120" spans="1:11" x14ac:dyDescent="0.25">
      <c r="A120" s="1">
        <v>45735</v>
      </c>
      <c r="B120" s="1">
        <v>45731</v>
      </c>
      <c r="C120" s="1" t="s">
        <v>30</v>
      </c>
      <c r="D120" t="s">
        <v>36</v>
      </c>
      <c r="E120" t="s">
        <v>40</v>
      </c>
      <c r="F120" t="s">
        <v>46</v>
      </c>
      <c r="G120" s="2">
        <v>0</v>
      </c>
      <c r="H120">
        <f t="shared" si="4"/>
        <v>-0.1769</v>
      </c>
      <c r="I120">
        <v>21</v>
      </c>
      <c r="J120">
        <f t="shared" si="5"/>
        <v>-3.7149000000000001</v>
      </c>
      <c r="K120">
        <f t="shared" si="6"/>
        <v>0</v>
      </c>
    </row>
    <row r="121" spans="1:11" x14ac:dyDescent="0.25">
      <c r="A121" s="1">
        <v>45735</v>
      </c>
      <c r="B121" s="1">
        <v>45731</v>
      </c>
      <c r="C121" s="1" t="s">
        <v>30</v>
      </c>
      <c r="D121" t="s">
        <v>37</v>
      </c>
      <c r="E121" t="s">
        <v>40</v>
      </c>
      <c r="F121" t="s">
        <v>46</v>
      </c>
      <c r="G121" s="2">
        <v>2.1000000000000001E-2</v>
      </c>
      <c r="H121">
        <f t="shared" si="4"/>
        <v>0.7950219999999999</v>
      </c>
      <c r="I121">
        <v>21</v>
      </c>
      <c r="J121">
        <f t="shared" si="5"/>
        <v>16.695461999999999</v>
      </c>
      <c r="K121">
        <f t="shared" si="6"/>
        <v>16.695461999999999</v>
      </c>
    </row>
    <row r="122" spans="1:11" x14ac:dyDescent="0.25">
      <c r="A122" s="1">
        <v>45735</v>
      </c>
      <c r="B122" s="1">
        <v>45731</v>
      </c>
      <c r="C122" s="1" t="s">
        <v>30</v>
      </c>
      <c r="D122" t="s">
        <v>35</v>
      </c>
      <c r="E122" t="s">
        <v>40</v>
      </c>
      <c r="F122" t="s">
        <v>46</v>
      </c>
      <c r="G122" s="2">
        <v>0</v>
      </c>
      <c r="H122">
        <f t="shared" ref="H122:H138" si="7">(46.282*G122)-0.1769</f>
        <v>-0.1769</v>
      </c>
      <c r="I122">
        <v>41</v>
      </c>
      <c r="J122">
        <f t="shared" ref="J122:J185" si="8">H122*I122</f>
        <v>-7.2529000000000003</v>
      </c>
      <c r="K122">
        <f t="shared" si="6"/>
        <v>0</v>
      </c>
    </row>
    <row r="123" spans="1:11" x14ac:dyDescent="0.25">
      <c r="A123" s="1">
        <v>45735</v>
      </c>
      <c r="B123" s="1">
        <v>45731</v>
      </c>
      <c r="C123" s="1" t="s">
        <v>30</v>
      </c>
      <c r="D123" t="s">
        <v>38</v>
      </c>
      <c r="E123" t="s">
        <v>40</v>
      </c>
      <c r="F123" t="s">
        <v>46</v>
      </c>
      <c r="G123" s="2">
        <v>0</v>
      </c>
      <c r="H123">
        <f t="shared" si="7"/>
        <v>-0.1769</v>
      </c>
      <c r="I123">
        <v>41</v>
      </c>
      <c r="J123">
        <f t="shared" si="8"/>
        <v>-7.2529000000000003</v>
      </c>
      <c r="K123">
        <f t="shared" si="6"/>
        <v>0</v>
      </c>
    </row>
    <row r="124" spans="1:11" x14ac:dyDescent="0.25">
      <c r="A124" s="1">
        <v>45735</v>
      </c>
      <c r="B124" s="1">
        <v>45731</v>
      </c>
      <c r="C124" s="1" t="s">
        <v>30</v>
      </c>
      <c r="D124" t="s">
        <v>36</v>
      </c>
      <c r="E124" s="1" t="s">
        <v>41</v>
      </c>
      <c r="F124" t="s">
        <v>46</v>
      </c>
      <c r="G124" s="2">
        <v>0</v>
      </c>
      <c r="H124">
        <f t="shared" si="7"/>
        <v>-0.1769</v>
      </c>
      <c r="I124">
        <v>21</v>
      </c>
      <c r="J124">
        <f t="shared" si="8"/>
        <v>-3.7149000000000001</v>
      </c>
      <c r="K124">
        <f t="shared" si="6"/>
        <v>0</v>
      </c>
    </row>
    <row r="125" spans="1:11" x14ac:dyDescent="0.25">
      <c r="A125" s="1">
        <v>45735</v>
      </c>
      <c r="B125" s="1">
        <v>45731</v>
      </c>
      <c r="C125" s="1" t="s">
        <v>30</v>
      </c>
      <c r="D125" t="s">
        <v>37</v>
      </c>
      <c r="E125" s="1" t="s">
        <v>41</v>
      </c>
      <c r="F125" t="s">
        <v>46</v>
      </c>
      <c r="G125" s="2">
        <v>1.6E-2</v>
      </c>
      <c r="H125">
        <f t="shared" si="7"/>
        <v>0.563612</v>
      </c>
      <c r="I125">
        <v>21</v>
      </c>
      <c r="J125">
        <f t="shared" si="8"/>
        <v>11.835851999999999</v>
      </c>
      <c r="K125">
        <f t="shared" si="6"/>
        <v>11.835851999999999</v>
      </c>
    </row>
    <row r="126" spans="1:11" x14ac:dyDescent="0.25">
      <c r="A126" s="1">
        <v>45735</v>
      </c>
      <c r="B126" s="1">
        <v>45731</v>
      </c>
      <c r="C126" s="1" t="s">
        <v>30</v>
      </c>
      <c r="D126" t="s">
        <v>35</v>
      </c>
      <c r="E126" s="1" t="s">
        <v>41</v>
      </c>
      <c r="F126" t="s">
        <v>46</v>
      </c>
      <c r="G126" s="2">
        <v>0</v>
      </c>
      <c r="H126">
        <f t="shared" si="7"/>
        <v>-0.1769</v>
      </c>
      <c r="I126">
        <v>41</v>
      </c>
      <c r="J126">
        <f t="shared" si="8"/>
        <v>-7.2529000000000003</v>
      </c>
      <c r="K126">
        <f t="shared" si="6"/>
        <v>0</v>
      </c>
    </row>
    <row r="127" spans="1:11" x14ac:dyDescent="0.25">
      <c r="A127" s="1">
        <v>45735</v>
      </c>
      <c r="B127" s="1">
        <v>45731</v>
      </c>
      <c r="C127" s="1" t="s">
        <v>30</v>
      </c>
      <c r="D127" t="s">
        <v>38</v>
      </c>
      <c r="E127" s="1" t="s">
        <v>41</v>
      </c>
      <c r="F127" t="s">
        <v>46</v>
      </c>
      <c r="G127" s="2">
        <v>0</v>
      </c>
      <c r="H127">
        <f t="shared" si="7"/>
        <v>-0.1769</v>
      </c>
      <c r="I127">
        <v>41</v>
      </c>
      <c r="J127">
        <f t="shared" si="8"/>
        <v>-7.2529000000000003</v>
      </c>
      <c r="K127">
        <f t="shared" si="6"/>
        <v>0</v>
      </c>
    </row>
    <row r="128" spans="1:11" x14ac:dyDescent="0.25">
      <c r="A128" s="1">
        <v>45735</v>
      </c>
      <c r="B128" s="1">
        <v>45731</v>
      </c>
      <c r="C128" s="1" t="s">
        <v>30</v>
      </c>
      <c r="D128" t="s">
        <v>36</v>
      </c>
      <c r="E128" s="1" t="s">
        <v>42</v>
      </c>
      <c r="F128" t="s">
        <v>46</v>
      </c>
      <c r="G128" s="2">
        <v>0</v>
      </c>
      <c r="H128">
        <f t="shared" si="7"/>
        <v>-0.1769</v>
      </c>
      <c r="I128">
        <v>21</v>
      </c>
      <c r="J128">
        <f t="shared" si="8"/>
        <v>-3.7149000000000001</v>
      </c>
      <c r="K128">
        <f t="shared" si="6"/>
        <v>0</v>
      </c>
    </row>
    <row r="129" spans="1:11" x14ac:dyDescent="0.25">
      <c r="A129" s="1">
        <v>45735</v>
      </c>
      <c r="B129" s="1">
        <v>45731</v>
      </c>
      <c r="C129" s="1" t="s">
        <v>30</v>
      </c>
      <c r="D129" t="s">
        <v>37</v>
      </c>
      <c r="E129" s="1" t="s">
        <v>42</v>
      </c>
      <c r="F129" t="s">
        <v>46</v>
      </c>
      <c r="G129" s="2">
        <v>0</v>
      </c>
      <c r="H129">
        <f t="shared" si="7"/>
        <v>-0.1769</v>
      </c>
      <c r="I129">
        <v>21</v>
      </c>
      <c r="J129">
        <f t="shared" si="8"/>
        <v>-3.7149000000000001</v>
      </c>
      <c r="K129">
        <f t="shared" si="6"/>
        <v>0</v>
      </c>
    </row>
    <row r="130" spans="1:11" x14ac:dyDescent="0.25">
      <c r="A130" s="1">
        <v>45735</v>
      </c>
      <c r="B130" s="1">
        <v>45731</v>
      </c>
      <c r="C130" s="1" t="s">
        <v>30</v>
      </c>
      <c r="D130" t="s">
        <v>35</v>
      </c>
      <c r="E130" s="1" t="s">
        <v>42</v>
      </c>
      <c r="F130" t="s">
        <v>46</v>
      </c>
      <c r="G130" s="2">
        <v>0</v>
      </c>
      <c r="H130">
        <f t="shared" si="7"/>
        <v>-0.1769</v>
      </c>
      <c r="I130">
        <v>41</v>
      </c>
      <c r="J130">
        <f t="shared" si="8"/>
        <v>-7.2529000000000003</v>
      </c>
      <c r="K130">
        <f t="shared" si="6"/>
        <v>0</v>
      </c>
    </row>
    <row r="131" spans="1:11" x14ac:dyDescent="0.25">
      <c r="A131" s="1">
        <v>45735</v>
      </c>
      <c r="B131" s="1">
        <v>45731</v>
      </c>
      <c r="C131" s="1" t="s">
        <v>30</v>
      </c>
      <c r="D131" t="s">
        <v>38</v>
      </c>
      <c r="E131" s="1" t="s">
        <v>42</v>
      </c>
      <c r="F131" t="s">
        <v>46</v>
      </c>
      <c r="G131" s="2">
        <v>0</v>
      </c>
      <c r="H131">
        <f t="shared" si="7"/>
        <v>-0.1769</v>
      </c>
      <c r="I131">
        <v>41</v>
      </c>
      <c r="J131">
        <f t="shared" si="8"/>
        <v>-7.2529000000000003</v>
      </c>
      <c r="K131">
        <f t="shared" ref="K131:K194" si="9">MAX(J131,0)</f>
        <v>0</v>
      </c>
    </row>
    <row r="132" spans="1:11" x14ac:dyDescent="0.25">
      <c r="A132" s="1">
        <v>45735</v>
      </c>
      <c r="B132" s="1">
        <v>45731</v>
      </c>
      <c r="C132" s="1" t="s">
        <v>30</v>
      </c>
      <c r="D132" t="s">
        <v>36</v>
      </c>
      <c r="E132" s="1" t="s">
        <v>43</v>
      </c>
      <c r="F132" t="s">
        <v>46</v>
      </c>
      <c r="G132" s="2">
        <v>0</v>
      </c>
      <c r="H132">
        <f t="shared" si="7"/>
        <v>-0.1769</v>
      </c>
      <c r="I132">
        <v>21</v>
      </c>
      <c r="J132">
        <f t="shared" si="8"/>
        <v>-3.7149000000000001</v>
      </c>
      <c r="K132">
        <f t="shared" si="9"/>
        <v>0</v>
      </c>
    </row>
    <row r="133" spans="1:11" x14ac:dyDescent="0.25">
      <c r="A133" s="1">
        <v>45735</v>
      </c>
      <c r="B133" s="1">
        <v>45731</v>
      </c>
      <c r="C133" s="1" t="s">
        <v>30</v>
      </c>
      <c r="D133" t="s">
        <v>37</v>
      </c>
      <c r="E133" s="1" t="s">
        <v>43</v>
      </c>
      <c r="F133" t="s">
        <v>46</v>
      </c>
      <c r="G133" s="2">
        <v>1E-3</v>
      </c>
      <c r="H133">
        <f t="shared" si="7"/>
        <v>-0.13061800000000001</v>
      </c>
      <c r="I133">
        <v>21</v>
      </c>
      <c r="J133">
        <f t="shared" si="8"/>
        <v>-2.7429780000000004</v>
      </c>
      <c r="K133">
        <f t="shared" si="9"/>
        <v>0</v>
      </c>
    </row>
    <row r="134" spans="1:11" x14ac:dyDescent="0.25">
      <c r="A134" s="1">
        <v>45735</v>
      </c>
      <c r="B134" s="1">
        <v>45731</v>
      </c>
      <c r="C134" s="1" t="s">
        <v>30</v>
      </c>
      <c r="D134" t="s">
        <v>35</v>
      </c>
      <c r="E134" s="1" t="s">
        <v>43</v>
      </c>
      <c r="F134" t="s">
        <v>46</v>
      </c>
      <c r="G134" s="2">
        <v>8.9999999999999993E-3</v>
      </c>
      <c r="H134">
        <f t="shared" si="7"/>
        <v>0.23963799999999996</v>
      </c>
      <c r="I134">
        <v>41</v>
      </c>
      <c r="J134">
        <f t="shared" si="8"/>
        <v>9.8251579999999983</v>
      </c>
      <c r="K134">
        <f t="shared" si="9"/>
        <v>9.8251579999999983</v>
      </c>
    </row>
    <row r="135" spans="1:11" x14ac:dyDescent="0.25">
      <c r="A135" s="1">
        <v>45735</v>
      </c>
      <c r="B135" s="1">
        <v>45731</v>
      </c>
      <c r="C135" s="1" t="s">
        <v>30</v>
      </c>
      <c r="D135" t="s">
        <v>38</v>
      </c>
      <c r="E135" s="1" t="s">
        <v>43</v>
      </c>
      <c r="F135" t="s">
        <v>46</v>
      </c>
      <c r="G135" s="2">
        <v>7.0000000000000001E-3</v>
      </c>
      <c r="H135">
        <f t="shared" si="7"/>
        <v>0.14707399999999998</v>
      </c>
      <c r="I135">
        <v>41</v>
      </c>
      <c r="J135">
        <f t="shared" si="8"/>
        <v>6.0300339999999997</v>
      </c>
      <c r="K135">
        <f t="shared" si="9"/>
        <v>6.0300339999999997</v>
      </c>
    </row>
    <row r="136" spans="1:11" x14ac:dyDescent="0.25">
      <c r="A136" s="1">
        <v>45735</v>
      </c>
      <c r="B136" s="1">
        <v>45731</v>
      </c>
      <c r="C136" s="1" t="s">
        <v>30</v>
      </c>
      <c r="D136" t="s">
        <v>36</v>
      </c>
      <c r="E136" s="1" t="s">
        <v>44</v>
      </c>
      <c r="F136" t="s">
        <v>46</v>
      </c>
      <c r="G136" s="2">
        <v>2.7E-2</v>
      </c>
      <c r="H136">
        <f t="shared" si="7"/>
        <v>1.0727139999999997</v>
      </c>
      <c r="I136">
        <v>21</v>
      </c>
      <c r="J136">
        <f t="shared" si="8"/>
        <v>22.526993999999995</v>
      </c>
      <c r="K136">
        <f t="shared" si="9"/>
        <v>22.526993999999995</v>
      </c>
    </row>
    <row r="137" spans="1:11" x14ac:dyDescent="0.25">
      <c r="A137" s="1">
        <v>45735</v>
      </c>
      <c r="B137" s="1">
        <v>45731</v>
      </c>
      <c r="C137" s="1" t="s">
        <v>30</v>
      </c>
      <c r="D137" t="s">
        <v>37</v>
      </c>
      <c r="E137" s="1" t="s">
        <v>44</v>
      </c>
      <c r="F137" t="s">
        <v>46</v>
      </c>
      <c r="G137" s="2">
        <v>1.7000000000000001E-2</v>
      </c>
      <c r="H137">
        <f t="shared" si="7"/>
        <v>0.60989399999999994</v>
      </c>
      <c r="I137">
        <v>21</v>
      </c>
      <c r="J137">
        <f t="shared" si="8"/>
        <v>12.807773999999998</v>
      </c>
      <c r="K137">
        <f t="shared" si="9"/>
        <v>12.807773999999998</v>
      </c>
    </row>
    <row r="138" spans="1:11" x14ac:dyDescent="0.25">
      <c r="A138" s="1">
        <v>45735</v>
      </c>
      <c r="B138" s="1">
        <v>45731</v>
      </c>
      <c r="C138" s="1" t="s">
        <v>30</v>
      </c>
      <c r="D138" t="s">
        <v>35</v>
      </c>
      <c r="E138" s="1" t="s">
        <v>44</v>
      </c>
      <c r="F138" t="s">
        <v>46</v>
      </c>
      <c r="G138" s="2">
        <v>2E-3</v>
      </c>
      <c r="H138">
        <f t="shared" si="7"/>
        <v>-8.4336000000000008E-2</v>
      </c>
      <c r="I138">
        <v>41</v>
      </c>
      <c r="J138">
        <f t="shared" si="8"/>
        <v>-3.4577760000000004</v>
      </c>
      <c r="K138">
        <f t="shared" si="9"/>
        <v>0</v>
      </c>
    </row>
    <row r="139" spans="1:11" x14ac:dyDescent="0.25">
      <c r="A139" s="1">
        <v>45735</v>
      </c>
      <c r="B139" s="1">
        <v>45731</v>
      </c>
      <c r="C139" s="1" t="s">
        <v>30</v>
      </c>
      <c r="D139" t="s">
        <v>38</v>
      </c>
      <c r="E139" s="1" t="s">
        <v>44</v>
      </c>
      <c r="F139" t="s">
        <v>46</v>
      </c>
      <c r="G139" s="2">
        <v>4.2999999999999997E-2</v>
      </c>
      <c r="H139">
        <f>(46.282*G139)-0.1769</f>
        <v>1.8132259999999996</v>
      </c>
      <c r="I139">
        <v>41</v>
      </c>
      <c r="J139">
        <f t="shared" si="8"/>
        <v>74.342265999999981</v>
      </c>
      <c r="K139">
        <f t="shared" si="9"/>
        <v>74.342265999999981</v>
      </c>
    </row>
    <row r="140" spans="1:11" x14ac:dyDescent="0.25">
      <c r="B140" s="4">
        <v>45800</v>
      </c>
      <c r="C140" t="s">
        <v>60</v>
      </c>
      <c r="E140" t="s">
        <v>13</v>
      </c>
      <c r="F140" t="s">
        <v>82</v>
      </c>
      <c r="G140" s="2">
        <v>0</v>
      </c>
      <c r="H140">
        <f>(41.242*G140)-0.0717</f>
        <v>-7.17E-2</v>
      </c>
      <c r="I140">
        <v>41</v>
      </c>
      <c r="J140">
        <f t="shared" si="8"/>
        <v>-2.9397000000000002</v>
      </c>
      <c r="K140">
        <f t="shared" si="9"/>
        <v>0</v>
      </c>
    </row>
    <row r="141" spans="1:11" x14ac:dyDescent="0.25">
      <c r="B141" s="4">
        <v>45800</v>
      </c>
      <c r="C141" t="s">
        <v>60</v>
      </c>
      <c r="E141" t="s">
        <v>14</v>
      </c>
      <c r="F141" t="s">
        <v>82</v>
      </c>
      <c r="G141" s="2">
        <v>0</v>
      </c>
      <c r="H141">
        <f t="shared" ref="H141:H204" si="10">(41.242*G141)-0.0717</f>
        <v>-7.17E-2</v>
      </c>
      <c r="I141">
        <v>41</v>
      </c>
      <c r="J141">
        <f t="shared" si="8"/>
        <v>-2.9397000000000002</v>
      </c>
      <c r="K141">
        <f t="shared" si="9"/>
        <v>0</v>
      </c>
    </row>
    <row r="142" spans="1:11" x14ac:dyDescent="0.25">
      <c r="B142" s="4">
        <v>45800</v>
      </c>
      <c r="C142" t="s">
        <v>60</v>
      </c>
      <c r="E142" t="s">
        <v>15</v>
      </c>
      <c r="F142" t="s">
        <v>82</v>
      </c>
      <c r="G142" s="2">
        <v>0</v>
      </c>
      <c r="H142">
        <f t="shared" si="10"/>
        <v>-7.17E-2</v>
      </c>
      <c r="I142">
        <v>41</v>
      </c>
      <c r="J142">
        <f t="shared" si="8"/>
        <v>-2.9397000000000002</v>
      </c>
      <c r="K142">
        <f t="shared" si="9"/>
        <v>0</v>
      </c>
    </row>
    <row r="143" spans="1:11" x14ac:dyDescent="0.25">
      <c r="B143" s="4">
        <v>45800</v>
      </c>
      <c r="C143" t="s">
        <v>60</v>
      </c>
      <c r="E143" t="s">
        <v>61</v>
      </c>
      <c r="F143" t="s">
        <v>82</v>
      </c>
      <c r="G143" s="2">
        <v>1E-3</v>
      </c>
      <c r="H143">
        <f t="shared" si="10"/>
        <v>-3.0457999999999999E-2</v>
      </c>
      <c r="I143">
        <v>41</v>
      </c>
      <c r="J143">
        <f t="shared" si="8"/>
        <v>-1.2487779999999999</v>
      </c>
      <c r="K143">
        <f t="shared" si="9"/>
        <v>0</v>
      </c>
    </row>
    <row r="144" spans="1:11" x14ac:dyDescent="0.25">
      <c r="B144" s="4">
        <v>45800</v>
      </c>
      <c r="C144" t="s">
        <v>60</v>
      </c>
      <c r="E144" t="s">
        <v>16</v>
      </c>
      <c r="F144" t="s">
        <v>82</v>
      </c>
      <c r="G144" s="2">
        <v>0</v>
      </c>
      <c r="H144">
        <f t="shared" si="10"/>
        <v>-7.17E-2</v>
      </c>
      <c r="I144">
        <v>41</v>
      </c>
      <c r="J144">
        <f t="shared" si="8"/>
        <v>-2.9397000000000002</v>
      </c>
      <c r="K144">
        <f t="shared" si="9"/>
        <v>0</v>
      </c>
    </row>
    <row r="145" spans="1:11" x14ac:dyDescent="0.25">
      <c r="B145" s="4">
        <v>45800</v>
      </c>
      <c r="C145" t="s">
        <v>60</v>
      </c>
      <c r="E145" t="s">
        <v>17</v>
      </c>
      <c r="F145" t="s">
        <v>82</v>
      </c>
      <c r="G145" s="2">
        <v>0</v>
      </c>
      <c r="H145">
        <f t="shared" si="10"/>
        <v>-7.17E-2</v>
      </c>
      <c r="I145">
        <v>41</v>
      </c>
      <c r="J145">
        <f t="shared" si="8"/>
        <v>-2.9397000000000002</v>
      </c>
      <c r="K145">
        <f t="shared" si="9"/>
        <v>0</v>
      </c>
    </row>
    <row r="146" spans="1:11" x14ac:dyDescent="0.25">
      <c r="A146" s="3"/>
      <c r="B146" s="5">
        <v>45800</v>
      </c>
      <c r="C146" s="3" t="s">
        <v>60</v>
      </c>
      <c r="D146" s="3"/>
      <c r="E146" s="3" t="s">
        <v>12</v>
      </c>
      <c r="F146" t="s">
        <v>82</v>
      </c>
      <c r="G146" s="3"/>
      <c r="I146">
        <v>41</v>
      </c>
      <c r="K146">
        <f t="shared" si="9"/>
        <v>0</v>
      </c>
    </row>
    <row r="147" spans="1:11" x14ac:dyDescent="0.25">
      <c r="B147" s="4">
        <v>45800</v>
      </c>
      <c r="C147" t="s">
        <v>60</v>
      </c>
      <c r="E147" t="s">
        <v>62</v>
      </c>
      <c r="F147" t="s">
        <v>82</v>
      </c>
      <c r="G147" s="2">
        <v>1.0999999999999999E-2</v>
      </c>
      <c r="H147">
        <f t="shared" si="10"/>
        <v>0.38196199999999997</v>
      </c>
      <c r="I147">
        <v>41</v>
      </c>
      <c r="J147">
        <f t="shared" si="8"/>
        <v>15.660441999999998</v>
      </c>
      <c r="K147">
        <f t="shared" si="9"/>
        <v>15.660441999999998</v>
      </c>
    </row>
    <row r="148" spans="1:11" x14ac:dyDescent="0.25">
      <c r="B148" s="4">
        <v>45800</v>
      </c>
      <c r="C148" t="s">
        <v>60</v>
      </c>
      <c r="E148" t="s">
        <v>18</v>
      </c>
      <c r="F148" t="s">
        <v>82</v>
      </c>
      <c r="G148" s="2">
        <v>0</v>
      </c>
      <c r="H148">
        <f t="shared" si="10"/>
        <v>-7.17E-2</v>
      </c>
      <c r="I148">
        <v>41</v>
      </c>
      <c r="J148">
        <f t="shared" si="8"/>
        <v>-2.9397000000000002</v>
      </c>
      <c r="K148">
        <f t="shared" si="9"/>
        <v>0</v>
      </c>
    </row>
    <row r="149" spans="1:11" x14ac:dyDescent="0.25">
      <c r="B149" s="4">
        <v>45800</v>
      </c>
      <c r="C149" t="s">
        <v>60</v>
      </c>
      <c r="E149" t="s">
        <v>19</v>
      </c>
      <c r="F149" t="s">
        <v>82</v>
      </c>
      <c r="G149" s="2">
        <v>1.4E-2</v>
      </c>
      <c r="H149">
        <f t="shared" si="10"/>
        <v>0.50568800000000003</v>
      </c>
      <c r="I149">
        <v>41</v>
      </c>
      <c r="J149">
        <f t="shared" si="8"/>
        <v>20.733208000000001</v>
      </c>
      <c r="K149">
        <f t="shared" si="9"/>
        <v>20.733208000000001</v>
      </c>
    </row>
    <row r="150" spans="1:11" x14ac:dyDescent="0.25">
      <c r="B150" s="4">
        <v>45800</v>
      </c>
      <c r="C150" t="s">
        <v>60</v>
      </c>
      <c r="E150" t="s">
        <v>20</v>
      </c>
      <c r="F150" t="s">
        <v>82</v>
      </c>
      <c r="G150" s="2">
        <v>0</v>
      </c>
      <c r="H150">
        <f t="shared" si="10"/>
        <v>-7.17E-2</v>
      </c>
      <c r="I150">
        <v>41</v>
      </c>
      <c r="J150">
        <f t="shared" si="8"/>
        <v>-2.9397000000000002</v>
      </c>
      <c r="K150">
        <f t="shared" si="9"/>
        <v>0</v>
      </c>
    </row>
    <row r="151" spans="1:11" x14ac:dyDescent="0.25">
      <c r="B151" s="4">
        <v>45800</v>
      </c>
      <c r="C151" t="s">
        <v>60</v>
      </c>
      <c r="E151" t="s">
        <v>63</v>
      </c>
      <c r="F151" t="s">
        <v>82</v>
      </c>
      <c r="G151" s="2">
        <v>0</v>
      </c>
      <c r="H151">
        <f t="shared" si="10"/>
        <v>-7.17E-2</v>
      </c>
      <c r="I151">
        <v>41</v>
      </c>
      <c r="J151">
        <f t="shared" si="8"/>
        <v>-2.9397000000000002</v>
      </c>
      <c r="K151">
        <f t="shared" si="9"/>
        <v>0</v>
      </c>
    </row>
    <row r="152" spans="1:11" x14ac:dyDescent="0.25">
      <c r="B152" s="4">
        <v>45800</v>
      </c>
      <c r="C152" t="s">
        <v>60</v>
      </c>
      <c r="E152" t="s">
        <v>21</v>
      </c>
      <c r="F152" t="s">
        <v>82</v>
      </c>
      <c r="G152" s="2">
        <v>0</v>
      </c>
      <c r="H152">
        <f t="shared" si="10"/>
        <v>-7.17E-2</v>
      </c>
      <c r="I152">
        <v>41</v>
      </c>
      <c r="J152">
        <f t="shared" si="8"/>
        <v>-2.9397000000000002</v>
      </c>
      <c r="K152">
        <f t="shared" si="9"/>
        <v>0</v>
      </c>
    </row>
    <row r="153" spans="1:11" x14ac:dyDescent="0.25">
      <c r="B153" s="4">
        <v>45800</v>
      </c>
      <c r="C153" t="s">
        <v>60</v>
      </c>
      <c r="E153" t="s">
        <v>22</v>
      </c>
      <c r="F153" t="s">
        <v>82</v>
      </c>
      <c r="G153" s="2">
        <v>0</v>
      </c>
      <c r="H153">
        <f t="shared" si="10"/>
        <v>-7.17E-2</v>
      </c>
      <c r="I153">
        <v>41</v>
      </c>
      <c r="J153">
        <f t="shared" si="8"/>
        <v>-2.9397000000000002</v>
      </c>
      <c r="K153">
        <f t="shared" si="9"/>
        <v>0</v>
      </c>
    </row>
    <row r="154" spans="1:11" x14ac:dyDescent="0.25">
      <c r="B154" s="4">
        <v>45800</v>
      </c>
      <c r="C154" t="s">
        <v>60</v>
      </c>
      <c r="E154" t="s">
        <v>23</v>
      </c>
      <c r="F154" t="s">
        <v>82</v>
      </c>
      <c r="G154" s="2">
        <v>0</v>
      </c>
      <c r="H154">
        <f t="shared" si="10"/>
        <v>-7.17E-2</v>
      </c>
      <c r="I154">
        <v>41</v>
      </c>
      <c r="J154">
        <f t="shared" si="8"/>
        <v>-2.9397000000000002</v>
      </c>
      <c r="K154">
        <f t="shared" si="9"/>
        <v>0</v>
      </c>
    </row>
    <row r="155" spans="1:11" x14ac:dyDescent="0.25">
      <c r="B155" s="4">
        <v>45800</v>
      </c>
      <c r="C155" t="s">
        <v>60</v>
      </c>
      <c r="E155" t="s">
        <v>64</v>
      </c>
      <c r="F155" t="s">
        <v>82</v>
      </c>
      <c r="G155" s="2">
        <v>0</v>
      </c>
      <c r="H155">
        <f t="shared" si="10"/>
        <v>-7.17E-2</v>
      </c>
      <c r="I155">
        <v>41</v>
      </c>
      <c r="J155">
        <f t="shared" si="8"/>
        <v>-2.9397000000000002</v>
      </c>
      <c r="K155">
        <f t="shared" si="9"/>
        <v>0</v>
      </c>
    </row>
    <row r="156" spans="1:11" x14ac:dyDescent="0.25">
      <c r="B156" s="4">
        <v>45800</v>
      </c>
      <c r="C156" t="s">
        <v>60</v>
      </c>
      <c r="E156" t="s">
        <v>24</v>
      </c>
      <c r="F156" t="s">
        <v>82</v>
      </c>
      <c r="G156" s="2">
        <v>0</v>
      </c>
      <c r="H156">
        <f t="shared" si="10"/>
        <v>-7.17E-2</v>
      </c>
      <c r="I156">
        <v>41</v>
      </c>
      <c r="J156">
        <f t="shared" si="8"/>
        <v>-2.9397000000000002</v>
      </c>
      <c r="K156">
        <f t="shared" si="9"/>
        <v>0</v>
      </c>
    </row>
    <row r="157" spans="1:11" x14ac:dyDescent="0.25">
      <c r="B157" s="4">
        <v>45800</v>
      </c>
      <c r="C157" t="s">
        <v>60</v>
      </c>
      <c r="E157" t="s">
        <v>25</v>
      </c>
      <c r="F157" t="s">
        <v>82</v>
      </c>
      <c r="G157" s="2">
        <v>1E-3</v>
      </c>
      <c r="H157">
        <f t="shared" si="10"/>
        <v>-3.0457999999999999E-2</v>
      </c>
      <c r="I157">
        <v>41</v>
      </c>
      <c r="J157">
        <f t="shared" si="8"/>
        <v>-1.2487779999999999</v>
      </c>
      <c r="K157">
        <f t="shared" si="9"/>
        <v>0</v>
      </c>
    </row>
    <row r="158" spans="1:11" x14ac:dyDescent="0.25">
      <c r="B158" s="4">
        <v>45800</v>
      </c>
      <c r="C158" t="s">
        <v>60</v>
      </c>
      <c r="E158" t="s">
        <v>26</v>
      </c>
      <c r="F158" t="s">
        <v>82</v>
      </c>
      <c r="G158" s="2">
        <v>0</v>
      </c>
      <c r="H158">
        <f t="shared" si="10"/>
        <v>-7.17E-2</v>
      </c>
      <c r="I158">
        <v>41</v>
      </c>
      <c r="J158">
        <f t="shared" si="8"/>
        <v>-2.9397000000000002</v>
      </c>
      <c r="K158">
        <f t="shared" si="9"/>
        <v>0</v>
      </c>
    </row>
    <row r="159" spans="1:11" x14ac:dyDescent="0.25">
      <c r="B159" s="4">
        <v>45800</v>
      </c>
      <c r="C159" t="s">
        <v>60</v>
      </c>
      <c r="E159" t="s">
        <v>65</v>
      </c>
      <c r="F159" t="s">
        <v>82</v>
      </c>
      <c r="G159" s="2">
        <v>0</v>
      </c>
      <c r="H159">
        <f t="shared" si="10"/>
        <v>-7.17E-2</v>
      </c>
      <c r="I159">
        <v>41</v>
      </c>
      <c r="J159">
        <f t="shared" si="8"/>
        <v>-2.9397000000000002</v>
      </c>
      <c r="K159">
        <f t="shared" si="9"/>
        <v>0</v>
      </c>
    </row>
    <row r="160" spans="1:11" x14ac:dyDescent="0.25">
      <c r="B160" s="4">
        <v>45800</v>
      </c>
      <c r="C160" t="s">
        <v>60</v>
      </c>
      <c r="E160" t="s">
        <v>27</v>
      </c>
      <c r="F160" t="s">
        <v>82</v>
      </c>
      <c r="G160" s="2">
        <v>0</v>
      </c>
      <c r="H160">
        <f t="shared" si="10"/>
        <v>-7.17E-2</v>
      </c>
      <c r="I160">
        <v>41</v>
      </c>
      <c r="J160">
        <f t="shared" si="8"/>
        <v>-2.9397000000000002</v>
      </c>
      <c r="K160">
        <f t="shared" si="9"/>
        <v>0</v>
      </c>
    </row>
    <row r="161" spans="1:11" x14ac:dyDescent="0.25">
      <c r="B161" s="4">
        <v>45800</v>
      </c>
      <c r="C161" t="s">
        <v>60</v>
      </c>
      <c r="E161" t="s">
        <v>28</v>
      </c>
      <c r="F161" t="s">
        <v>82</v>
      </c>
      <c r="G161" s="2">
        <v>0</v>
      </c>
      <c r="H161">
        <f t="shared" si="10"/>
        <v>-7.17E-2</v>
      </c>
      <c r="I161">
        <v>41</v>
      </c>
      <c r="J161">
        <f t="shared" si="8"/>
        <v>-2.9397000000000002</v>
      </c>
      <c r="K161">
        <f t="shared" si="9"/>
        <v>0</v>
      </c>
    </row>
    <row r="162" spans="1:11" x14ac:dyDescent="0.25">
      <c r="B162" s="4">
        <v>45800</v>
      </c>
      <c r="C162" t="s">
        <v>60</v>
      </c>
      <c r="E162" t="s">
        <v>29</v>
      </c>
      <c r="F162" t="s">
        <v>82</v>
      </c>
      <c r="G162" s="2">
        <v>0</v>
      </c>
      <c r="H162">
        <f t="shared" si="10"/>
        <v>-7.17E-2</v>
      </c>
      <c r="I162">
        <v>41</v>
      </c>
      <c r="J162">
        <f t="shared" si="8"/>
        <v>-2.9397000000000002</v>
      </c>
      <c r="K162">
        <f t="shared" si="9"/>
        <v>0</v>
      </c>
    </row>
    <row r="163" spans="1:11" x14ac:dyDescent="0.25">
      <c r="B163" s="4">
        <v>45800</v>
      </c>
      <c r="C163" t="s">
        <v>60</v>
      </c>
      <c r="E163" t="s">
        <v>66</v>
      </c>
      <c r="F163" t="s">
        <v>82</v>
      </c>
      <c r="G163" s="2">
        <v>8.9999999999999993E-3</v>
      </c>
      <c r="H163">
        <f t="shared" si="10"/>
        <v>0.29947799999999997</v>
      </c>
      <c r="I163">
        <v>41</v>
      </c>
      <c r="J163">
        <f t="shared" si="8"/>
        <v>12.278597999999999</v>
      </c>
      <c r="K163">
        <f t="shared" si="9"/>
        <v>12.278597999999999</v>
      </c>
    </row>
    <row r="164" spans="1:11" x14ac:dyDescent="0.25">
      <c r="B164" s="4">
        <v>45800</v>
      </c>
      <c r="C164" t="s">
        <v>60</v>
      </c>
      <c r="D164" t="s">
        <v>67</v>
      </c>
      <c r="E164">
        <v>1</v>
      </c>
      <c r="F164" t="s">
        <v>82</v>
      </c>
      <c r="G164" s="2">
        <v>1.4E-2</v>
      </c>
      <c r="H164">
        <f t="shared" si="10"/>
        <v>0.50568800000000003</v>
      </c>
      <c r="I164">
        <v>1</v>
      </c>
      <c r="J164">
        <f t="shared" si="8"/>
        <v>0.50568800000000003</v>
      </c>
      <c r="K164">
        <f t="shared" si="9"/>
        <v>0.50568800000000003</v>
      </c>
    </row>
    <row r="165" spans="1:11" x14ac:dyDescent="0.25">
      <c r="B165" s="4">
        <v>45800</v>
      </c>
      <c r="C165" t="s">
        <v>60</v>
      </c>
      <c r="D165" t="s">
        <v>67</v>
      </c>
      <c r="E165">
        <v>2</v>
      </c>
      <c r="F165" t="s">
        <v>82</v>
      </c>
      <c r="G165" s="2">
        <v>0</v>
      </c>
      <c r="H165">
        <f t="shared" si="10"/>
        <v>-7.17E-2</v>
      </c>
      <c r="I165">
        <v>1</v>
      </c>
      <c r="J165">
        <f t="shared" si="8"/>
        <v>-7.17E-2</v>
      </c>
      <c r="K165">
        <f t="shared" si="9"/>
        <v>0</v>
      </c>
    </row>
    <row r="166" spans="1:11" x14ac:dyDescent="0.25">
      <c r="B166" s="4">
        <v>45800</v>
      </c>
      <c r="C166" t="s">
        <v>60</v>
      </c>
      <c r="D166" t="s">
        <v>67</v>
      </c>
      <c r="E166">
        <v>3</v>
      </c>
      <c r="F166" t="s">
        <v>82</v>
      </c>
      <c r="G166" s="2">
        <v>1.9E-2</v>
      </c>
      <c r="H166">
        <f t="shared" si="10"/>
        <v>0.71189799999999992</v>
      </c>
      <c r="I166">
        <v>1</v>
      </c>
      <c r="J166">
        <f t="shared" si="8"/>
        <v>0.71189799999999992</v>
      </c>
      <c r="K166">
        <f t="shared" si="9"/>
        <v>0.71189799999999992</v>
      </c>
    </row>
    <row r="167" spans="1:11" x14ac:dyDescent="0.25">
      <c r="B167" s="4">
        <v>45800</v>
      </c>
      <c r="C167" t="s">
        <v>68</v>
      </c>
      <c r="E167" t="s">
        <v>13</v>
      </c>
      <c r="F167" t="s">
        <v>82</v>
      </c>
      <c r="G167" s="2">
        <v>0</v>
      </c>
      <c r="H167">
        <f t="shared" si="10"/>
        <v>-7.17E-2</v>
      </c>
      <c r="I167">
        <v>41</v>
      </c>
      <c r="J167">
        <f t="shared" si="8"/>
        <v>-2.9397000000000002</v>
      </c>
      <c r="K167">
        <f t="shared" si="9"/>
        <v>0</v>
      </c>
    </row>
    <row r="168" spans="1:11" x14ac:dyDescent="0.25">
      <c r="B168" s="4">
        <v>45800</v>
      </c>
      <c r="C168" t="s">
        <v>68</v>
      </c>
      <c r="E168" t="s">
        <v>14</v>
      </c>
      <c r="F168" t="s">
        <v>82</v>
      </c>
      <c r="G168" s="2">
        <v>0</v>
      </c>
      <c r="H168">
        <f t="shared" si="10"/>
        <v>-7.17E-2</v>
      </c>
      <c r="I168">
        <v>41</v>
      </c>
      <c r="J168">
        <f t="shared" si="8"/>
        <v>-2.9397000000000002</v>
      </c>
      <c r="K168">
        <f t="shared" si="9"/>
        <v>0</v>
      </c>
    </row>
    <row r="169" spans="1:11" x14ac:dyDescent="0.25">
      <c r="B169" s="4">
        <v>45800</v>
      </c>
      <c r="C169" t="s">
        <v>68</v>
      </c>
      <c r="E169" t="s">
        <v>15</v>
      </c>
      <c r="F169" t="s">
        <v>82</v>
      </c>
      <c r="G169" s="2">
        <v>0</v>
      </c>
      <c r="H169">
        <f t="shared" si="10"/>
        <v>-7.17E-2</v>
      </c>
      <c r="I169">
        <v>41</v>
      </c>
      <c r="J169">
        <f t="shared" si="8"/>
        <v>-2.9397000000000002</v>
      </c>
      <c r="K169">
        <f t="shared" si="9"/>
        <v>0</v>
      </c>
    </row>
    <row r="170" spans="1:11" x14ac:dyDescent="0.25">
      <c r="B170" s="4">
        <v>45800</v>
      </c>
      <c r="C170" t="s">
        <v>68</v>
      </c>
      <c r="E170" t="s">
        <v>61</v>
      </c>
      <c r="F170" t="s">
        <v>82</v>
      </c>
      <c r="G170" s="2">
        <v>0</v>
      </c>
      <c r="H170">
        <f t="shared" si="10"/>
        <v>-7.17E-2</v>
      </c>
      <c r="I170">
        <v>41</v>
      </c>
      <c r="J170">
        <f t="shared" si="8"/>
        <v>-2.9397000000000002</v>
      </c>
      <c r="K170">
        <f t="shared" si="9"/>
        <v>0</v>
      </c>
    </row>
    <row r="171" spans="1:11" x14ac:dyDescent="0.25">
      <c r="B171" s="4">
        <v>45800</v>
      </c>
      <c r="C171" t="s">
        <v>68</v>
      </c>
      <c r="E171" t="s">
        <v>16</v>
      </c>
      <c r="F171" t="s">
        <v>82</v>
      </c>
      <c r="G171" s="2">
        <v>0</v>
      </c>
      <c r="H171">
        <f t="shared" si="10"/>
        <v>-7.17E-2</v>
      </c>
      <c r="I171">
        <v>41</v>
      </c>
      <c r="J171">
        <f t="shared" si="8"/>
        <v>-2.9397000000000002</v>
      </c>
      <c r="K171">
        <f t="shared" si="9"/>
        <v>0</v>
      </c>
    </row>
    <row r="172" spans="1:11" x14ac:dyDescent="0.25">
      <c r="B172" s="4">
        <v>45800</v>
      </c>
      <c r="C172" t="s">
        <v>68</v>
      </c>
      <c r="E172" t="s">
        <v>17</v>
      </c>
      <c r="F172" t="s">
        <v>82</v>
      </c>
      <c r="G172" s="2">
        <v>0</v>
      </c>
      <c r="H172">
        <f t="shared" si="10"/>
        <v>-7.17E-2</v>
      </c>
      <c r="I172">
        <v>41</v>
      </c>
      <c r="J172">
        <f t="shared" si="8"/>
        <v>-2.9397000000000002</v>
      </c>
      <c r="K172">
        <f t="shared" si="9"/>
        <v>0</v>
      </c>
    </row>
    <row r="173" spans="1:11" x14ac:dyDescent="0.25">
      <c r="B173" s="4">
        <v>45800</v>
      </c>
      <c r="C173" t="s">
        <v>68</v>
      </c>
      <c r="E173" t="s">
        <v>12</v>
      </c>
      <c r="F173" t="s">
        <v>82</v>
      </c>
      <c r="G173" s="2">
        <v>5.0000000000000001E-3</v>
      </c>
      <c r="H173">
        <f t="shared" si="10"/>
        <v>0.13451000000000002</v>
      </c>
      <c r="I173">
        <v>41</v>
      </c>
      <c r="J173">
        <f t="shared" si="8"/>
        <v>5.5149100000000004</v>
      </c>
      <c r="K173">
        <f t="shared" si="9"/>
        <v>5.5149100000000004</v>
      </c>
    </row>
    <row r="174" spans="1:11" x14ac:dyDescent="0.25">
      <c r="B174" s="4">
        <v>45800</v>
      </c>
      <c r="C174" t="s">
        <v>68</v>
      </c>
      <c r="E174" t="s">
        <v>62</v>
      </c>
      <c r="F174" t="s">
        <v>82</v>
      </c>
      <c r="G174" s="2">
        <v>0.01</v>
      </c>
      <c r="H174">
        <f t="shared" si="10"/>
        <v>0.34072000000000002</v>
      </c>
      <c r="I174">
        <v>41</v>
      </c>
      <c r="J174">
        <f t="shared" si="8"/>
        <v>13.969520000000001</v>
      </c>
      <c r="K174">
        <f t="shared" si="9"/>
        <v>13.969520000000001</v>
      </c>
    </row>
    <row r="175" spans="1:11" x14ac:dyDescent="0.25">
      <c r="A175" s="3"/>
      <c r="B175" s="5">
        <v>45800</v>
      </c>
      <c r="C175" s="3" t="s">
        <v>68</v>
      </c>
      <c r="D175" s="3"/>
      <c r="E175" s="3" t="s">
        <v>18</v>
      </c>
      <c r="F175" t="s">
        <v>82</v>
      </c>
      <c r="G175" s="3"/>
      <c r="I175">
        <v>41</v>
      </c>
      <c r="K175">
        <f t="shared" si="9"/>
        <v>0</v>
      </c>
    </row>
    <row r="176" spans="1:11" x14ac:dyDescent="0.25">
      <c r="B176" s="4">
        <v>45800</v>
      </c>
      <c r="C176" t="s">
        <v>68</v>
      </c>
      <c r="E176" t="s">
        <v>19</v>
      </c>
      <c r="F176" t="s">
        <v>82</v>
      </c>
      <c r="G176" s="2">
        <v>8.9999999999999993E-3</v>
      </c>
      <c r="H176">
        <f t="shared" si="10"/>
        <v>0.29947799999999997</v>
      </c>
      <c r="I176">
        <v>41</v>
      </c>
      <c r="J176">
        <f t="shared" si="8"/>
        <v>12.278597999999999</v>
      </c>
      <c r="K176">
        <f t="shared" si="9"/>
        <v>12.278597999999999</v>
      </c>
    </row>
    <row r="177" spans="2:11" x14ac:dyDescent="0.25">
      <c r="B177" s="4">
        <v>45800</v>
      </c>
      <c r="C177" t="s">
        <v>68</v>
      </c>
      <c r="E177" t="s">
        <v>20</v>
      </c>
      <c r="F177" t="s">
        <v>82</v>
      </c>
      <c r="G177" s="2">
        <v>0</v>
      </c>
      <c r="H177">
        <f t="shared" si="10"/>
        <v>-7.17E-2</v>
      </c>
      <c r="I177">
        <v>41</v>
      </c>
      <c r="J177">
        <f t="shared" si="8"/>
        <v>-2.9397000000000002</v>
      </c>
      <c r="K177">
        <f t="shared" si="9"/>
        <v>0</v>
      </c>
    </row>
    <row r="178" spans="2:11" x14ac:dyDescent="0.25">
      <c r="B178" s="4">
        <v>45800</v>
      </c>
      <c r="C178" t="s">
        <v>68</v>
      </c>
      <c r="E178" t="s">
        <v>63</v>
      </c>
      <c r="F178" t="s">
        <v>82</v>
      </c>
      <c r="G178" s="2">
        <v>0</v>
      </c>
      <c r="H178">
        <f t="shared" si="10"/>
        <v>-7.17E-2</v>
      </c>
      <c r="I178">
        <v>41</v>
      </c>
      <c r="J178">
        <f t="shared" si="8"/>
        <v>-2.9397000000000002</v>
      </c>
      <c r="K178">
        <f t="shared" si="9"/>
        <v>0</v>
      </c>
    </row>
    <row r="179" spans="2:11" x14ac:dyDescent="0.25">
      <c r="B179" s="4">
        <v>45800</v>
      </c>
      <c r="C179" t="s">
        <v>68</v>
      </c>
      <c r="E179" t="s">
        <v>21</v>
      </c>
      <c r="F179" t="s">
        <v>82</v>
      </c>
      <c r="G179" s="2">
        <v>0</v>
      </c>
      <c r="H179">
        <f t="shared" si="10"/>
        <v>-7.17E-2</v>
      </c>
      <c r="I179">
        <v>41</v>
      </c>
      <c r="J179">
        <f t="shared" si="8"/>
        <v>-2.9397000000000002</v>
      </c>
      <c r="K179">
        <f t="shared" si="9"/>
        <v>0</v>
      </c>
    </row>
    <row r="180" spans="2:11" x14ac:dyDescent="0.25">
      <c r="B180" s="4">
        <v>45800</v>
      </c>
      <c r="C180" t="s">
        <v>68</v>
      </c>
      <c r="E180" t="s">
        <v>22</v>
      </c>
      <c r="F180" t="s">
        <v>82</v>
      </c>
      <c r="G180" s="2">
        <v>0</v>
      </c>
      <c r="H180">
        <f t="shared" si="10"/>
        <v>-7.17E-2</v>
      </c>
      <c r="I180">
        <v>41</v>
      </c>
      <c r="J180">
        <f t="shared" si="8"/>
        <v>-2.9397000000000002</v>
      </c>
      <c r="K180">
        <f t="shared" si="9"/>
        <v>0</v>
      </c>
    </row>
    <row r="181" spans="2:11" x14ac:dyDescent="0.25">
      <c r="B181" s="4">
        <v>45800</v>
      </c>
      <c r="C181" t="s">
        <v>68</v>
      </c>
      <c r="E181" t="s">
        <v>23</v>
      </c>
      <c r="F181" t="s">
        <v>82</v>
      </c>
      <c r="G181" s="2">
        <v>0</v>
      </c>
      <c r="H181">
        <f t="shared" si="10"/>
        <v>-7.17E-2</v>
      </c>
      <c r="I181">
        <v>41</v>
      </c>
      <c r="J181">
        <f t="shared" si="8"/>
        <v>-2.9397000000000002</v>
      </c>
      <c r="K181">
        <f t="shared" si="9"/>
        <v>0</v>
      </c>
    </row>
    <row r="182" spans="2:11" x14ac:dyDescent="0.25">
      <c r="B182" s="4">
        <v>45800</v>
      </c>
      <c r="C182" t="s">
        <v>68</v>
      </c>
      <c r="E182" t="s">
        <v>64</v>
      </c>
      <c r="F182" t="s">
        <v>82</v>
      </c>
      <c r="G182" s="2">
        <v>0</v>
      </c>
      <c r="H182">
        <f t="shared" si="10"/>
        <v>-7.17E-2</v>
      </c>
      <c r="I182">
        <v>41</v>
      </c>
      <c r="J182">
        <f t="shared" si="8"/>
        <v>-2.9397000000000002</v>
      </c>
      <c r="K182">
        <f t="shared" si="9"/>
        <v>0</v>
      </c>
    </row>
    <row r="183" spans="2:11" x14ac:dyDescent="0.25">
      <c r="B183" s="4">
        <v>45800</v>
      </c>
      <c r="C183" t="s">
        <v>68</v>
      </c>
      <c r="E183" t="s">
        <v>24</v>
      </c>
      <c r="F183" t="s">
        <v>82</v>
      </c>
      <c r="G183" s="2">
        <v>0</v>
      </c>
      <c r="H183">
        <f t="shared" si="10"/>
        <v>-7.17E-2</v>
      </c>
      <c r="I183">
        <v>41</v>
      </c>
      <c r="J183">
        <f t="shared" si="8"/>
        <v>-2.9397000000000002</v>
      </c>
      <c r="K183">
        <f t="shared" si="9"/>
        <v>0</v>
      </c>
    </row>
    <row r="184" spans="2:11" x14ac:dyDescent="0.25">
      <c r="B184" s="4">
        <v>45800</v>
      </c>
      <c r="C184" t="s">
        <v>68</v>
      </c>
      <c r="E184" t="s">
        <v>25</v>
      </c>
      <c r="F184" t="s">
        <v>82</v>
      </c>
      <c r="G184" s="2">
        <v>3.0000000000000001E-3</v>
      </c>
      <c r="H184">
        <f t="shared" si="10"/>
        <v>5.2025999999999989E-2</v>
      </c>
      <c r="I184">
        <v>41</v>
      </c>
      <c r="J184">
        <f t="shared" si="8"/>
        <v>2.1330659999999995</v>
      </c>
      <c r="K184">
        <f t="shared" si="9"/>
        <v>2.1330659999999995</v>
      </c>
    </row>
    <row r="185" spans="2:11" x14ac:dyDescent="0.25">
      <c r="B185" s="4">
        <v>45800</v>
      </c>
      <c r="C185" t="s">
        <v>68</v>
      </c>
      <c r="E185" t="s">
        <v>26</v>
      </c>
      <c r="F185" t="s">
        <v>82</v>
      </c>
      <c r="G185" s="2">
        <v>0</v>
      </c>
      <c r="H185">
        <f t="shared" si="10"/>
        <v>-7.17E-2</v>
      </c>
      <c r="I185">
        <v>41</v>
      </c>
      <c r="J185">
        <f t="shared" si="8"/>
        <v>-2.9397000000000002</v>
      </c>
      <c r="K185">
        <f t="shared" si="9"/>
        <v>0</v>
      </c>
    </row>
    <row r="186" spans="2:11" x14ac:dyDescent="0.25">
      <c r="B186" s="4">
        <v>45800</v>
      </c>
      <c r="C186" t="s">
        <v>68</v>
      </c>
      <c r="E186" t="s">
        <v>65</v>
      </c>
      <c r="F186" t="s">
        <v>82</v>
      </c>
      <c r="G186" s="2">
        <v>0</v>
      </c>
      <c r="H186">
        <f t="shared" si="10"/>
        <v>-7.17E-2</v>
      </c>
      <c r="I186">
        <v>41</v>
      </c>
      <c r="J186">
        <f t="shared" ref="J186:J249" si="11">H186*I186</f>
        <v>-2.9397000000000002</v>
      </c>
      <c r="K186">
        <f t="shared" si="9"/>
        <v>0</v>
      </c>
    </row>
    <row r="187" spans="2:11" x14ac:dyDescent="0.25">
      <c r="B187" s="4">
        <v>45800</v>
      </c>
      <c r="C187" t="s">
        <v>68</v>
      </c>
      <c r="E187" t="s">
        <v>27</v>
      </c>
      <c r="F187" t="s">
        <v>82</v>
      </c>
      <c r="G187" s="2">
        <v>4.0000000000000001E-3</v>
      </c>
      <c r="H187">
        <f t="shared" si="10"/>
        <v>9.3268000000000004E-2</v>
      </c>
      <c r="I187">
        <v>41</v>
      </c>
      <c r="J187">
        <f t="shared" si="11"/>
        <v>3.8239879999999999</v>
      </c>
      <c r="K187">
        <f t="shared" si="9"/>
        <v>3.8239879999999999</v>
      </c>
    </row>
    <row r="188" spans="2:11" x14ac:dyDescent="0.25">
      <c r="B188" s="4">
        <v>45800</v>
      </c>
      <c r="C188" t="s">
        <v>68</v>
      </c>
      <c r="E188" t="s">
        <v>28</v>
      </c>
      <c r="F188" t="s">
        <v>82</v>
      </c>
      <c r="G188" s="2">
        <v>0</v>
      </c>
      <c r="H188">
        <f t="shared" si="10"/>
        <v>-7.17E-2</v>
      </c>
      <c r="I188">
        <v>41</v>
      </c>
      <c r="J188">
        <f t="shared" si="11"/>
        <v>-2.9397000000000002</v>
      </c>
      <c r="K188">
        <f t="shared" si="9"/>
        <v>0</v>
      </c>
    </row>
    <row r="189" spans="2:11" x14ac:dyDescent="0.25">
      <c r="B189" s="4">
        <v>45800</v>
      </c>
      <c r="C189" t="s">
        <v>68</v>
      </c>
      <c r="E189" t="s">
        <v>29</v>
      </c>
      <c r="F189" t="s">
        <v>82</v>
      </c>
      <c r="G189" s="2">
        <v>1E-3</v>
      </c>
      <c r="H189">
        <f t="shared" si="10"/>
        <v>-3.0457999999999999E-2</v>
      </c>
      <c r="I189">
        <v>41</v>
      </c>
      <c r="J189">
        <f t="shared" si="11"/>
        <v>-1.2487779999999999</v>
      </c>
      <c r="K189">
        <f t="shared" si="9"/>
        <v>0</v>
      </c>
    </row>
    <row r="190" spans="2:11" x14ac:dyDescent="0.25">
      <c r="B190" s="4">
        <v>45800</v>
      </c>
      <c r="C190" t="s">
        <v>68</v>
      </c>
      <c r="E190" t="s">
        <v>66</v>
      </c>
      <c r="F190" t="s">
        <v>82</v>
      </c>
      <c r="G190" s="2">
        <v>5.0000000000000001E-3</v>
      </c>
      <c r="H190">
        <f t="shared" si="10"/>
        <v>0.13451000000000002</v>
      </c>
      <c r="I190">
        <v>41</v>
      </c>
      <c r="J190">
        <f t="shared" si="11"/>
        <v>5.5149100000000004</v>
      </c>
      <c r="K190">
        <f t="shared" si="9"/>
        <v>5.5149100000000004</v>
      </c>
    </row>
    <row r="191" spans="2:11" x14ac:dyDescent="0.25">
      <c r="B191" s="4">
        <v>45800</v>
      </c>
      <c r="C191" t="s">
        <v>68</v>
      </c>
      <c r="D191" t="s">
        <v>67</v>
      </c>
      <c r="E191">
        <v>1</v>
      </c>
      <c r="F191" t="s">
        <v>82</v>
      </c>
      <c r="G191" s="2">
        <v>4.5999999999999999E-2</v>
      </c>
      <c r="H191">
        <f t="shared" si="10"/>
        <v>1.8254319999999997</v>
      </c>
      <c r="I191">
        <v>1</v>
      </c>
      <c r="J191">
        <f t="shared" si="11"/>
        <v>1.8254319999999997</v>
      </c>
      <c r="K191">
        <f t="shared" si="9"/>
        <v>1.8254319999999997</v>
      </c>
    </row>
    <row r="192" spans="2:11" x14ac:dyDescent="0.25">
      <c r="B192" s="4">
        <v>45800</v>
      </c>
      <c r="C192" t="s">
        <v>68</v>
      </c>
      <c r="D192" t="s">
        <v>67</v>
      </c>
      <c r="E192">
        <v>2</v>
      </c>
      <c r="F192" t="s">
        <v>82</v>
      </c>
      <c r="G192" s="2">
        <v>4.1000000000000002E-2</v>
      </c>
      <c r="H192">
        <f t="shared" si="10"/>
        <v>1.6192219999999999</v>
      </c>
      <c r="I192">
        <v>1</v>
      </c>
      <c r="J192">
        <f t="shared" si="11"/>
        <v>1.6192219999999999</v>
      </c>
      <c r="K192">
        <f t="shared" si="9"/>
        <v>1.6192219999999999</v>
      </c>
    </row>
    <row r="193" spans="2:11" x14ac:dyDescent="0.25">
      <c r="B193" s="4">
        <v>45800</v>
      </c>
      <c r="C193" t="s">
        <v>68</v>
      </c>
      <c r="D193" t="s">
        <v>67</v>
      </c>
      <c r="E193">
        <v>3</v>
      </c>
      <c r="F193" t="s">
        <v>82</v>
      </c>
      <c r="G193" s="2">
        <v>3.6999999999999998E-2</v>
      </c>
      <c r="H193">
        <f t="shared" si="10"/>
        <v>1.4542539999999997</v>
      </c>
      <c r="I193">
        <v>1</v>
      </c>
      <c r="J193">
        <f t="shared" si="11"/>
        <v>1.4542539999999997</v>
      </c>
      <c r="K193">
        <f t="shared" si="9"/>
        <v>1.4542539999999997</v>
      </c>
    </row>
    <row r="194" spans="2:11" x14ac:dyDescent="0.25">
      <c r="B194" s="4">
        <v>45800</v>
      </c>
      <c r="C194" t="s">
        <v>34</v>
      </c>
      <c r="E194" t="s">
        <v>13</v>
      </c>
      <c r="F194" t="s">
        <v>82</v>
      </c>
      <c r="G194" s="2">
        <v>0</v>
      </c>
      <c r="H194">
        <f t="shared" si="10"/>
        <v>-7.17E-2</v>
      </c>
      <c r="I194">
        <v>41</v>
      </c>
      <c r="J194">
        <f t="shared" si="11"/>
        <v>-2.9397000000000002</v>
      </c>
      <c r="K194">
        <f t="shared" si="9"/>
        <v>0</v>
      </c>
    </row>
    <row r="195" spans="2:11" x14ac:dyDescent="0.25">
      <c r="B195" s="4">
        <v>45800</v>
      </c>
      <c r="C195" t="s">
        <v>34</v>
      </c>
      <c r="E195" t="s">
        <v>14</v>
      </c>
      <c r="F195" t="s">
        <v>82</v>
      </c>
      <c r="G195" s="2">
        <v>7.0000000000000001E-3</v>
      </c>
      <c r="H195">
        <f t="shared" si="10"/>
        <v>0.21699400000000002</v>
      </c>
      <c r="I195">
        <v>41</v>
      </c>
      <c r="J195">
        <f t="shared" si="11"/>
        <v>8.8967540000000014</v>
      </c>
      <c r="K195">
        <f t="shared" ref="K195:K258" si="12">MAX(J195,0)</f>
        <v>8.8967540000000014</v>
      </c>
    </row>
    <row r="196" spans="2:11" x14ac:dyDescent="0.25">
      <c r="B196" s="4">
        <v>45800</v>
      </c>
      <c r="C196" t="s">
        <v>34</v>
      </c>
      <c r="E196" t="s">
        <v>15</v>
      </c>
      <c r="F196" t="s">
        <v>82</v>
      </c>
      <c r="G196" s="2">
        <v>8.9999999999999993E-3</v>
      </c>
      <c r="H196">
        <f t="shared" si="10"/>
        <v>0.29947799999999997</v>
      </c>
      <c r="I196">
        <v>41</v>
      </c>
      <c r="J196">
        <f t="shared" si="11"/>
        <v>12.278597999999999</v>
      </c>
      <c r="K196">
        <f t="shared" si="12"/>
        <v>12.278597999999999</v>
      </c>
    </row>
    <row r="197" spans="2:11" x14ac:dyDescent="0.25">
      <c r="B197" s="4">
        <v>45800</v>
      </c>
      <c r="C197" t="s">
        <v>34</v>
      </c>
      <c r="E197" t="s">
        <v>61</v>
      </c>
      <c r="F197" t="s">
        <v>82</v>
      </c>
      <c r="G197" s="2">
        <v>1.2E-2</v>
      </c>
      <c r="H197">
        <f t="shared" si="10"/>
        <v>0.42320399999999997</v>
      </c>
      <c r="I197">
        <v>41</v>
      </c>
      <c r="J197">
        <f t="shared" si="11"/>
        <v>17.351364</v>
      </c>
      <c r="K197">
        <f t="shared" si="12"/>
        <v>17.351364</v>
      </c>
    </row>
    <row r="198" spans="2:11" x14ac:dyDescent="0.25">
      <c r="B198" s="4">
        <v>45800</v>
      </c>
      <c r="C198" t="s">
        <v>34</v>
      </c>
      <c r="E198" t="s">
        <v>16</v>
      </c>
      <c r="F198" t="s">
        <v>82</v>
      </c>
      <c r="G198" s="2">
        <v>0</v>
      </c>
      <c r="H198">
        <f t="shared" si="10"/>
        <v>-7.17E-2</v>
      </c>
      <c r="I198">
        <v>41</v>
      </c>
      <c r="J198">
        <f t="shared" si="11"/>
        <v>-2.9397000000000002</v>
      </c>
      <c r="K198">
        <f t="shared" si="12"/>
        <v>0</v>
      </c>
    </row>
    <row r="199" spans="2:11" x14ac:dyDescent="0.25">
      <c r="B199" s="4">
        <v>45800</v>
      </c>
      <c r="C199" t="s">
        <v>34</v>
      </c>
      <c r="E199" t="s">
        <v>17</v>
      </c>
      <c r="F199" t="s">
        <v>82</v>
      </c>
      <c r="G199" s="2">
        <v>0</v>
      </c>
      <c r="H199">
        <f t="shared" si="10"/>
        <v>-7.17E-2</v>
      </c>
      <c r="I199">
        <v>41</v>
      </c>
      <c r="J199">
        <f t="shared" si="11"/>
        <v>-2.9397000000000002</v>
      </c>
      <c r="K199">
        <f t="shared" si="12"/>
        <v>0</v>
      </c>
    </row>
    <row r="200" spans="2:11" x14ac:dyDescent="0.25">
      <c r="B200" s="4">
        <v>45800</v>
      </c>
      <c r="C200" t="s">
        <v>34</v>
      </c>
      <c r="E200" t="s">
        <v>12</v>
      </c>
      <c r="F200" t="s">
        <v>82</v>
      </c>
      <c r="G200" s="2">
        <v>0</v>
      </c>
      <c r="H200">
        <f t="shared" si="10"/>
        <v>-7.17E-2</v>
      </c>
      <c r="I200">
        <v>41</v>
      </c>
      <c r="J200">
        <f t="shared" si="11"/>
        <v>-2.9397000000000002</v>
      </c>
      <c r="K200">
        <f t="shared" si="12"/>
        <v>0</v>
      </c>
    </row>
    <row r="201" spans="2:11" x14ac:dyDescent="0.25">
      <c r="B201" s="4">
        <v>45800</v>
      </c>
      <c r="C201" t="s">
        <v>34</v>
      </c>
      <c r="E201" t="s">
        <v>62</v>
      </c>
      <c r="F201" t="s">
        <v>82</v>
      </c>
      <c r="G201" s="2">
        <v>7.0000000000000001E-3</v>
      </c>
      <c r="H201">
        <f t="shared" si="10"/>
        <v>0.21699400000000002</v>
      </c>
      <c r="I201">
        <v>41</v>
      </c>
      <c r="J201">
        <f t="shared" si="11"/>
        <v>8.8967540000000014</v>
      </c>
      <c r="K201">
        <f t="shared" si="12"/>
        <v>8.8967540000000014</v>
      </c>
    </row>
    <row r="202" spans="2:11" x14ac:dyDescent="0.25">
      <c r="B202" s="4">
        <v>45800</v>
      </c>
      <c r="C202" t="s">
        <v>34</v>
      </c>
      <c r="E202" t="s">
        <v>18</v>
      </c>
      <c r="F202" t="s">
        <v>82</v>
      </c>
      <c r="G202" s="2">
        <v>0</v>
      </c>
      <c r="H202">
        <f t="shared" si="10"/>
        <v>-7.17E-2</v>
      </c>
      <c r="I202">
        <v>41</v>
      </c>
      <c r="J202">
        <f t="shared" si="11"/>
        <v>-2.9397000000000002</v>
      </c>
      <c r="K202">
        <f t="shared" si="12"/>
        <v>0</v>
      </c>
    </row>
    <row r="203" spans="2:11" x14ac:dyDescent="0.25">
      <c r="B203" s="4">
        <v>45800</v>
      </c>
      <c r="C203" t="s">
        <v>34</v>
      </c>
      <c r="E203" t="s">
        <v>19</v>
      </c>
      <c r="F203" t="s">
        <v>82</v>
      </c>
      <c r="G203" s="2">
        <v>0</v>
      </c>
      <c r="H203">
        <f t="shared" si="10"/>
        <v>-7.17E-2</v>
      </c>
      <c r="I203">
        <v>41</v>
      </c>
      <c r="J203">
        <f t="shared" si="11"/>
        <v>-2.9397000000000002</v>
      </c>
      <c r="K203">
        <f t="shared" si="12"/>
        <v>0</v>
      </c>
    </row>
    <row r="204" spans="2:11" x14ac:dyDescent="0.25">
      <c r="B204" s="4">
        <v>45800</v>
      </c>
      <c r="C204" t="s">
        <v>34</v>
      </c>
      <c r="E204" t="s">
        <v>20</v>
      </c>
      <c r="F204" t="s">
        <v>82</v>
      </c>
      <c r="G204" s="2">
        <v>0</v>
      </c>
      <c r="H204">
        <f t="shared" si="10"/>
        <v>-7.17E-2</v>
      </c>
      <c r="I204">
        <v>41</v>
      </c>
      <c r="J204">
        <f t="shared" si="11"/>
        <v>-2.9397000000000002</v>
      </c>
      <c r="K204">
        <f t="shared" si="12"/>
        <v>0</v>
      </c>
    </row>
    <row r="205" spans="2:11" x14ac:dyDescent="0.25">
      <c r="B205" s="4">
        <v>45800</v>
      </c>
      <c r="C205" t="s">
        <v>34</v>
      </c>
      <c r="E205" t="s">
        <v>63</v>
      </c>
      <c r="F205" t="s">
        <v>82</v>
      </c>
      <c r="G205" s="2">
        <v>6.0000000000000001E-3</v>
      </c>
      <c r="H205">
        <f t="shared" ref="H205:H268" si="13">(41.242*G205)-0.0717</f>
        <v>0.17575199999999996</v>
      </c>
      <c r="I205">
        <v>41</v>
      </c>
      <c r="J205">
        <f t="shared" si="11"/>
        <v>7.2058319999999982</v>
      </c>
      <c r="K205">
        <f t="shared" si="12"/>
        <v>7.2058319999999982</v>
      </c>
    </row>
    <row r="206" spans="2:11" x14ac:dyDescent="0.25">
      <c r="B206" s="4">
        <v>45800</v>
      </c>
      <c r="C206" t="s">
        <v>34</v>
      </c>
      <c r="E206" t="s">
        <v>21</v>
      </c>
      <c r="F206" t="s">
        <v>82</v>
      </c>
      <c r="G206" s="2">
        <v>0</v>
      </c>
      <c r="H206">
        <f t="shared" si="13"/>
        <v>-7.17E-2</v>
      </c>
      <c r="I206">
        <v>41</v>
      </c>
      <c r="J206">
        <f t="shared" si="11"/>
        <v>-2.9397000000000002</v>
      </c>
      <c r="K206">
        <f t="shared" si="12"/>
        <v>0</v>
      </c>
    </row>
    <row r="207" spans="2:11" x14ac:dyDescent="0.25">
      <c r="B207" s="4">
        <v>45800</v>
      </c>
      <c r="C207" t="s">
        <v>34</v>
      </c>
      <c r="E207" t="s">
        <v>22</v>
      </c>
      <c r="F207" t="s">
        <v>82</v>
      </c>
      <c r="G207" s="2">
        <v>0</v>
      </c>
      <c r="H207">
        <f t="shared" si="13"/>
        <v>-7.17E-2</v>
      </c>
      <c r="I207">
        <v>41</v>
      </c>
      <c r="J207">
        <f t="shared" si="11"/>
        <v>-2.9397000000000002</v>
      </c>
      <c r="K207">
        <f t="shared" si="12"/>
        <v>0</v>
      </c>
    </row>
    <row r="208" spans="2:11" x14ac:dyDescent="0.25">
      <c r="B208" s="4">
        <v>45800</v>
      </c>
      <c r="C208" t="s">
        <v>34</v>
      </c>
      <c r="E208" t="s">
        <v>23</v>
      </c>
      <c r="F208" t="s">
        <v>82</v>
      </c>
      <c r="G208" s="2">
        <v>1E-3</v>
      </c>
      <c r="H208">
        <f t="shared" si="13"/>
        <v>-3.0457999999999999E-2</v>
      </c>
      <c r="I208">
        <v>41</v>
      </c>
      <c r="J208">
        <f t="shared" si="11"/>
        <v>-1.2487779999999999</v>
      </c>
      <c r="K208">
        <f t="shared" si="12"/>
        <v>0</v>
      </c>
    </row>
    <row r="209" spans="2:11" x14ac:dyDescent="0.25">
      <c r="B209" s="4">
        <v>45800</v>
      </c>
      <c r="C209" t="s">
        <v>34</v>
      </c>
      <c r="E209" t="s">
        <v>64</v>
      </c>
      <c r="F209" t="s">
        <v>82</v>
      </c>
      <c r="G209" s="2">
        <v>0</v>
      </c>
      <c r="H209">
        <f t="shared" si="13"/>
        <v>-7.17E-2</v>
      </c>
      <c r="I209">
        <v>41</v>
      </c>
      <c r="J209">
        <f t="shared" si="11"/>
        <v>-2.9397000000000002</v>
      </c>
      <c r="K209">
        <f t="shared" si="12"/>
        <v>0</v>
      </c>
    </row>
    <row r="210" spans="2:11" x14ac:dyDescent="0.25">
      <c r="B210" s="4">
        <v>45800</v>
      </c>
      <c r="C210" t="s">
        <v>34</v>
      </c>
      <c r="E210" t="s">
        <v>24</v>
      </c>
      <c r="F210" t="s">
        <v>82</v>
      </c>
      <c r="G210" s="2">
        <v>1E-3</v>
      </c>
      <c r="H210">
        <f t="shared" si="13"/>
        <v>-3.0457999999999999E-2</v>
      </c>
      <c r="I210">
        <v>41</v>
      </c>
      <c r="J210">
        <f t="shared" si="11"/>
        <v>-1.2487779999999999</v>
      </c>
      <c r="K210">
        <f t="shared" si="12"/>
        <v>0</v>
      </c>
    </row>
    <row r="211" spans="2:11" x14ac:dyDescent="0.25">
      <c r="B211" s="4">
        <v>45800</v>
      </c>
      <c r="C211" t="s">
        <v>34</v>
      </c>
      <c r="E211" t="s">
        <v>25</v>
      </c>
      <c r="F211" t="s">
        <v>82</v>
      </c>
      <c r="G211" s="2">
        <v>0</v>
      </c>
      <c r="H211">
        <f t="shared" si="13"/>
        <v>-7.17E-2</v>
      </c>
      <c r="I211">
        <v>41</v>
      </c>
      <c r="J211">
        <f t="shared" si="11"/>
        <v>-2.9397000000000002</v>
      </c>
      <c r="K211">
        <f t="shared" si="12"/>
        <v>0</v>
      </c>
    </row>
    <row r="212" spans="2:11" x14ac:dyDescent="0.25">
      <c r="B212" s="4">
        <v>45800</v>
      </c>
      <c r="C212" t="s">
        <v>34</v>
      </c>
      <c r="E212" t="s">
        <v>26</v>
      </c>
      <c r="F212" t="s">
        <v>82</v>
      </c>
      <c r="G212" s="2">
        <v>0</v>
      </c>
      <c r="H212">
        <f t="shared" si="13"/>
        <v>-7.17E-2</v>
      </c>
      <c r="I212">
        <v>41</v>
      </c>
      <c r="J212">
        <f t="shared" si="11"/>
        <v>-2.9397000000000002</v>
      </c>
      <c r="K212">
        <f t="shared" si="12"/>
        <v>0</v>
      </c>
    </row>
    <row r="213" spans="2:11" x14ac:dyDescent="0.25">
      <c r="B213" s="4">
        <v>45800</v>
      </c>
      <c r="C213" t="s">
        <v>34</v>
      </c>
      <c r="E213" t="s">
        <v>65</v>
      </c>
      <c r="F213" t="s">
        <v>82</v>
      </c>
      <c r="G213" s="2">
        <v>0.01</v>
      </c>
      <c r="H213">
        <f t="shared" si="13"/>
        <v>0.34072000000000002</v>
      </c>
      <c r="I213">
        <v>41</v>
      </c>
      <c r="J213">
        <f t="shared" si="11"/>
        <v>13.969520000000001</v>
      </c>
      <c r="K213">
        <f t="shared" si="12"/>
        <v>13.969520000000001</v>
      </c>
    </row>
    <row r="214" spans="2:11" x14ac:dyDescent="0.25">
      <c r="B214" s="4">
        <v>45800</v>
      </c>
      <c r="C214" t="s">
        <v>34</v>
      </c>
      <c r="E214" t="s">
        <v>27</v>
      </c>
      <c r="F214" t="s">
        <v>82</v>
      </c>
      <c r="G214" s="2">
        <v>0</v>
      </c>
      <c r="H214">
        <f t="shared" si="13"/>
        <v>-7.17E-2</v>
      </c>
      <c r="I214">
        <v>41</v>
      </c>
      <c r="J214">
        <f t="shared" si="11"/>
        <v>-2.9397000000000002</v>
      </c>
      <c r="K214">
        <f t="shared" si="12"/>
        <v>0</v>
      </c>
    </row>
    <row r="215" spans="2:11" x14ac:dyDescent="0.25">
      <c r="B215" s="4">
        <v>45800</v>
      </c>
      <c r="C215" t="s">
        <v>34</v>
      </c>
      <c r="E215" t="s">
        <v>28</v>
      </c>
      <c r="F215" t="s">
        <v>82</v>
      </c>
      <c r="G215" s="2">
        <v>1.2E-2</v>
      </c>
      <c r="H215">
        <f t="shared" si="13"/>
        <v>0.42320399999999997</v>
      </c>
      <c r="I215">
        <v>41</v>
      </c>
      <c r="J215">
        <f t="shared" si="11"/>
        <v>17.351364</v>
      </c>
      <c r="K215">
        <f t="shared" si="12"/>
        <v>17.351364</v>
      </c>
    </row>
    <row r="216" spans="2:11" x14ac:dyDescent="0.25">
      <c r="B216" s="4">
        <v>45800</v>
      </c>
      <c r="C216" t="s">
        <v>34</v>
      </c>
      <c r="E216" t="s">
        <v>29</v>
      </c>
      <c r="F216" t="s">
        <v>82</v>
      </c>
      <c r="G216" s="2">
        <v>0</v>
      </c>
      <c r="H216">
        <f t="shared" si="13"/>
        <v>-7.17E-2</v>
      </c>
      <c r="I216">
        <v>41</v>
      </c>
      <c r="J216">
        <f t="shared" si="11"/>
        <v>-2.9397000000000002</v>
      </c>
      <c r="K216">
        <f t="shared" si="12"/>
        <v>0</v>
      </c>
    </row>
    <row r="217" spans="2:11" x14ac:dyDescent="0.25">
      <c r="B217" s="4">
        <v>45800</v>
      </c>
      <c r="C217" t="s">
        <v>34</v>
      </c>
      <c r="E217" t="s">
        <v>66</v>
      </c>
      <c r="F217" t="s">
        <v>82</v>
      </c>
      <c r="G217" s="2">
        <v>0</v>
      </c>
      <c r="H217">
        <f t="shared" si="13"/>
        <v>-7.17E-2</v>
      </c>
      <c r="I217">
        <v>41</v>
      </c>
      <c r="J217">
        <f t="shared" si="11"/>
        <v>-2.9397000000000002</v>
      </c>
      <c r="K217">
        <f t="shared" si="12"/>
        <v>0</v>
      </c>
    </row>
    <row r="218" spans="2:11" x14ac:dyDescent="0.25">
      <c r="B218" s="4">
        <v>45800</v>
      </c>
      <c r="C218" t="s">
        <v>34</v>
      </c>
      <c r="D218" t="s">
        <v>67</v>
      </c>
      <c r="E218">
        <v>1</v>
      </c>
      <c r="F218" t="s">
        <v>82</v>
      </c>
      <c r="G218" s="2">
        <v>2E-3</v>
      </c>
      <c r="H218">
        <f t="shared" si="13"/>
        <v>1.0784000000000002E-2</v>
      </c>
      <c r="I218">
        <v>1</v>
      </c>
      <c r="J218">
        <f t="shared" si="11"/>
        <v>1.0784000000000002E-2</v>
      </c>
      <c r="K218">
        <f t="shared" si="12"/>
        <v>1.0784000000000002E-2</v>
      </c>
    </row>
    <row r="219" spans="2:11" x14ac:dyDescent="0.25">
      <c r="B219" s="4">
        <v>45800</v>
      </c>
      <c r="C219" t="s">
        <v>34</v>
      </c>
      <c r="D219" t="s">
        <v>67</v>
      </c>
      <c r="E219">
        <v>2</v>
      </c>
      <c r="F219" t="s">
        <v>82</v>
      </c>
      <c r="G219" s="2">
        <v>1E-3</v>
      </c>
      <c r="H219">
        <f t="shared" si="13"/>
        <v>-3.0457999999999999E-2</v>
      </c>
      <c r="I219">
        <v>1</v>
      </c>
      <c r="J219">
        <f t="shared" si="11"/>
        <v>-3.0457999999999999E-2</v>
      </c>
      <c r="K219">
        <f t="shared" si="12"/>
        <v>0</v>
      </c>
    </row>
    <row r="220" spans="2:11" x14ac:dyDescent="0.25">
      <c r="B220" s="4">
        <v>45800</v>
      </c>
      <c r="C220" t="s">
        <v>34</v>
      </c>
      <c r="D220" t="s">
        <v>67</v>
      </c>
      <c r="E220">
        <v>3</v>
      </c>
      <c r="F220" t="s">
        <v>82</v>
      </c>
      <c r="G220" s="2">
        <v>0</v>
      </c>
      <c r="H220">
        <f t="shared" si="13"/>
        <v>-7.17E-2</v>
      </c>
      <c r="I220">
        <v>1</v>
      </c>
      <c r="J220">
        <f t="shared" si="11"/>
        <v>-7.17E-2</v>
      </c>
      <c r="K220">
        <f t="shared" si="12"/>
        <v>0</v>
      </c>
    </row>
    <row r="221" spans="2:11" x14ac:dyDescent="0.25">
      <c r="B221" s="4">
        <v>45801</v>
      </c>
      <c r="C221" t="s">
        <v>70</v>
      </c>
      <c r="E221" t="s">
        <v>13</v>
      </c>
      <c r="F221" t="s">
        <v>82</v>
      </c>
      <c r="G221" s="2">
        <v>8.5000000000000006E-2</v>
      </c>
      <c r="H221">
        <f t="shared" si="13"/>
        <v>3.4338700000000002</v>
      </c>
      <c r="I221">
        <v>41</v>
      </c>
      <c r="J221">
        <f t="shared" si="11"/>
        <v>140.78867</v>
      </c>
      <c r="K221">
        <f t="shared" si="12"/>
        <v>140.78867</v>
      </c>
    </row>
    <row r="222" spans="2:11" x14ac:dyDescent="0.25">
      <c r="B222" s="4">
        <v>45801</v>
      </c>
      <c r="C222" t="s">
        <v>70</v>
      </c>
      <c r="E222" t="s">
        <v>14</v>
      </c>
      <c r="F222" t="s">
        <v>82</v>
      </c>
      <c r="G222" s="2">
        <v>2.8000000000000001E-2</v>
      </c>
      <c r="H222">
        <f t="shared" si="13"/>
        <v>1.0830759999999999</v>
      </c>
      <c r="I222">
        <v>41</v>
      </c>
      <c r="J222">
        <f t="shared" si="11"/>
        <v>44.406115999999997</v>
      </c>
      <c r="K222">
        <f t="shared" si="12"/>
        <v>44.406115999999997</v>
      </c>
    </row>
    <row r="223" spans="2:11" x14ac:dyDescent="0.25">
      <c r="B223" s="4">
        <v>45801</v>
      </c>
      <c r="C223" t="s">
        <v>70</v>
      </c>
      <c r="E223" t="s">
        <v>15</v>
      </c>
      <c r="F223" t="s">
        <v>82</v>
      </c>
      <c r="G223" s="2">
        <v>5.2999999999999999E-2</v>
      </c>
      <c r="H223">
        <f t="shared" si="13"/>
        <v>2.1141259999999997</v>
      </c>
      <c r="I223">
        <v>41</v>
      </c>
      <c r="J223">
        <f t="shared" si="11"/>
        <v>86.679165999999995</v>
      </c>
      <c r="K223">
        <f t="shared" si="12"/>
        <v>86.679165999999995</v>
      </c>
    </row>
    <row r="224" spans="2:11" x14ac:dyDescent="0.25">
      <c r="B224" s="4">
        <v>45801</v>
      </c>
      <c r="C224" t="s">
        <v>70</v>
      </c>
      <c r="E224" t="s">
        <v>61</v>
      </c>
      <c r="F224" t="s">
        <v>82</v>
      </c>
      <c r="G224" s="2">
        <v>2.9000000000000001E-2</v>
      </c>
      <c r="H224">
        <f t="shared" si="13"/>
        <v>1.1243179999999999</v>
      </c>
      <c r="I224">
        <v>41</v>
      </c>
      <c r="J224">
        <f t="shared" si="11"/>
        <v>46.097037999999998</v>
      </c>
      <c r="K224">
        <f t="shared" si="12"/>
        <v>46.097037999999998</v>
      </c>
    </row>
    <row r="225" spans="2:11" x14ac:dyDescent="0.25">
      <c r="B225" s="4">
        <v>45801</v>
      </c>
      <c r="C225" t="s">
        <v>70</v>
      </c>
      <c r="E225" t="s">
        <v>16</v>
      </c>
      <c r="F225" t="s">
        <v>82</v>
      </c>
      <c r="G225" s="2">
        <v>1.2E-2</v>
      </c>
      <c r="H225">
        <f t="shared" si="13"/>
        <v>0.42320399999999997</v>
      </c>
      <c r="I225">
        <v>41</v>
      </c>
      <c r="J225">
        <f t="shared" si="11"/>
        <v>17.351364</v>
      </c>
      <c r="K225">
        <f t="shared" si="12"/>
        <v>17.351364</v>
      </c>
    </row>
    <row r="226" spans="2:11" x14ac:dyDescent="0.25">
      <c r="B226" s="4">
        <v>45801</v>
      </c>
      <c r="C226" t="s">
        <v>70</v>
      </c>
      <c r="E226" t="s">
        <v>17</v>
      </c>
      <c r="F226" t="s">
        <v>82</v>
      </c>
      <c r="G226" s="2">
        <v>0.01</v>
      </c>
      <c r="H226">
        <f t="shared" si="13"/>
        <v>0.34072000000000002</v>
      </c>
      <c r="I226">
        <v>41</v>
      </c>
      <c r="J226">
        <f t="shared" si="11"/>
        <v>13.969520000000001</v>
      </c>
      <c r="K226">
        <f t="shared" si="12"/>
        <v>13.969520000000001</v>
      </c>
    </row>
    <row r="227" spans="2:11" x14ac:dyDescent="0.25">
      <c r="B227" s="4">
        <v>45801</v>
      </c>
      <c r="C227" t="s">
        <v>70</v>
      </c>
      <c r="E227" t="s">
        <v>12</v>
      </c>
      <c r="F227" t="s">
        <v>82</v>
      </c>
      <c r="G227" s="2">
        <v>8.0000000000000002E-3</v>
      </c>
      <c r="H227">
        <f t="shared" si="13"/>
        <v>0.25823600000000002</v>
      </c>
      <c r="I227">
        <v>41</v>
      </c>
      <c r="J227">
        <f t="shared" si="11"/>
        <v>10.587676</v>
      </c>
      <c r="K227">
        <f t="shared" si="12"/>
        <v>10.587676</v>
      </c>
    </row>
    <row r="228" spans="2:11" x14ac:dyDescent="0.25">
      <c r="B228" s="4">
        <v>45801</v>
      </c>
      <c r="C228" t="s">
        <v>70</v>
      </c>
      <c r="E228" t="s">
        <v>62</v>
      </c>
      <c r="F228" t="s">
        <v>82</v>
      </c>
      <c r="G228" s="2">
        <v>3.9E-2</v>
      </c>
      <c r="H228">
        <f t="shared" si="13"/>
        <v>1.5367379999999997</v>
      </c>
      <c r="I228">
        <v>41</v>
      </c>
      <c r="J228">
        <f t="shared" si="11"/>
        <v>63.006257999999988</v>
      </c>
      <c r="K228">
        <f t="shared" si="12"/>
        <v>63.006257999999988</v>
      </c>
    </row>
    <row r="229" spans="2:11" x14ac:dyDescent="0.25">
      <c r="B229" s="4">
        <v>45801</v>
      </c>
      <c r="C229" t="s">
        <v>70</v>
      </c>
      <c r="E229" t="s">
        <v>18</v>
      </c>
      <c r="F229" t="s">
        <v>82</v>
      </c>
      <c r="G229" s="2">
        <v>4.8000000000000001E-2</v>
      </c>
      <c r="H229">
        <f t="shared" si="13"/>
        <v>1.9079159999999997</v>
      </c>
      <c r="I229">
        <v>41</v>
      </c>
      <c r="J229">
        <f t="shared" si="11"/>
        <v>78.224555999999993</v>
      </c>
      <c r="K229">
        <f t="shared" si="12"/>
        <v>78.224555999999993</v>
      </c>
    </row>
    <row r="230" spans="2:11" x14ac:dyDescent="0.25">
      <c r="B230" s="4">
        <v>45801</v>
      </c>
      <c r="C230" t="s">
        <v>70</v>
      </c>
      <c r="E230" t="s">
        <v>19</v>
      </c>
      <c r="F230" t="s">
        <v>82</v>
      </c>
      <c r="G230" s="2">
        <v>3.9E-2</v>
      </c>
      <c r="H230">
        <f t="shared" si="13"/>
        <v>1.5367379999999997</v>
      </c>
      <c r="I230">
        <v>41</v>
      </c>
      <c r="J230">
        <f t="shared" si="11"/>
        <v>63.006257999999988</v>
      </c>
      <c r="K230">
        <f t="shared" si="12"/>
        <v>63.006257999999988</v>
      </c>
    </row>
    <row r="231" spans="2:11" x14ac:dyDescent="0.25">
      <c r="B231" s="4">
        <v>45801</v>
      </c>
      <c r="C231" t="s">
        <v>70</v>
      </c>
      <c r="E231" t="s">
        <v>20</v>
      </c>
      <c r="F231" t="s">
        <v>82</v>
      </c>
      <c r="G231" s="2">
        <v>2.9000000000000001E-2</v>
      </c>
      <c r="H231">
        <f t="shared" si="13"/>
        <v>1.1243179999999999</v>
      </c>
      <c r="I231">
        <v>41</v>
      </c>
      <c r="J231">
        <f t="shared" si="11"/>
        <v>46.097037999999998</v>
      </c>
      <c r="K231">
        <f t="shared" si="12"/>
        <v>46.097037999999998</v>
      </c>
    </row>
    <row r="232" spans="2:11" x14ac:dyDescent="0.25">
      <c r="B232" s="4">
        <v>45801</v>
      </c>
      <c r="C232" t="s">
        <v>70</v>
      </c>
      <c r="E232" t="s">
        <v>63</v>
      </c>
      <c r="F232" t="s">
        <v>82</v>
      </c>
      <c r="G232" s="2">
        <v>1.9E-2</v>
      </c>
      <c r="H232">
        <f t="shared" si="13"/>
        <v>0.71189799999999992</v>
      </c>
      <c r="I232">
        <v>41</v>
      </c>
      <c r="J232">
        <f t="shared" si="11"/>
        <v>29.187817999999996</v>
      </c>
      <c r="K232">
        <f t="shared" si="12"/>
        <v>29.187817999999996</v>
      </c>
    </row>
    <row r="233" spans="2:11" x14ac:dyDescent="0.25">
      <c r="B233" s="4">
        <v>45801</v>
      </c>
      <c r="C233" t="s">
        <v>70</v>
      </c>
      <c r="E233" t="s">
        <v>21</v>
      </c>
      <c r="F233" t="s">
        <v>82</v>
      </c>
      <c r="G233" s="2">
        <v>1.2999999999999999E-2</v>
      </c>
      <c r="H233">
        <f t="shared" si="13"/>
        <v>0.46444599999999991</v>
      </c>
      <c r="I233">
        <v>41</v>
      </c>
      <c r="J233">
        <f t="shared" si="11"/>
        <v>19.042285999999997</v>
      </c>
      <c r="K233">
        <f t="shared" si="12"/>
        <v>19.042285999999997</v>
      </c>
    </row>
    <row r="234" spans="2:11" x14ac:dyDescent="0.25">
      <c r="B234" s="4">
        <v>45801</v>
      </c>
      <c r="C234" t="s">
        <v>70</v>
      </c>
      <c r="E234" t="s">
        <v>22</v>
      </c>
      <c r="F234" t="s">
        <v>82</v>
      </c>
      <c r="G234" s="2">
        <v>0.01</v>
      </c>
      <c r="H234">
        <f t="shared" si="13"/>
        <v>0.34072000000000002</v>
      </c>
      <c r="I234">
        <v>41</v>
      </c>
      <c r="J234">
        <f t="shared" si="11"/>
        <v>13.969520000000001</v>
      </c>
      <c r="K234">
        <f t="shared" si="12"/>
        <v>13.969520000000001</v>
      </c>
    </row>
    <row r="235" spans="2:11" x14ac:dyDescent="0.25">
      <c r="B235" s="4">
        <v>45801</v>
      </c>
      <c r="C235" t="s">
        <v>70</v>
      </c>
      <c r="E235" t="s">
        <v>23</v>
      </c>
      <c r="F235" t="s">
        <v>82</v>
      </c>
      <c r="G235" s="2">
        <v>7.0000000000000001E-3</v>
      </c>
      <c r="H235">
        <f t="shared" si="13"/>
        <v>0.21699400000000002</v>
      </c>
      <c r="I235">
        <v>41</v>
      </c>
      <c r="J235">
        <f t="shared" si="11"/>
        <v>8.8967540000000014</v>
      </c>
      <c r="K235">
        <f t="shared" si="12"/>
        <v>8.8967540000000014</v>
      </c>
    </row>
    <row r="236" spans="2:11" x14ac:dyDescent="0.25">
      <c r="B236" s="4">
        <v>45801</v>
      </c>
      <c r="C236" t="s">
        <v>70</v>
      </c>
      <c r="E236" t="s">
        <v>64</v>
      </c>
      <c r="F236" t="s">
        <v>82</v>
      </c>
      <c r="G236" s="2">
        <v>1.0999999999999999E-2</v>
      </c>
      <c r="H236">
        <f t="shared" si="13"/>
        <v>0.38196199999999997</v>
      </c>
      <c r="I236">
        <v>41</v>
      </c>
      <c r="J236">
        <f t="shared" si="11"/>
        <v>15.660441999999998</v>
      </c>
      <c r="K236">
        <f t="shared" si="12"/>
        <v>15.660441999999998</v>
      </c>
    </row>
    <row r="237" spans="2:11" x14ac:dyDescent="0.25">
      <c r="B237" s="4">
        <v>45801</v>
      </c>
      <c r="C237" t="s">
        <v>70</v>
      </c>
      <c r="E237" t="s">
        <v>24</v>
      </c>
      <c r="F237" t="s">
        <v>82</v>
      </c>
      <c r="G237" s="2">
        <v>1.4E-2</v>
      </c>
      <c r="H237">
        <f t="shared" si="13"/>
        <v>0.50568800000000003</v>
      </c>
      <c r="I237">
        <v>41</v>
      </c>
      <c r="J237">
        <f t="shared" si="11"/>
        <v>20.733208000000001</v>
      </c>
      <c r="K237">
        <f t="shared" si="12"/>
        <v>20.733208000000001</v>
      </c>
    </row>
    <row r="238" spans="2:11" x14ac:dyDescent="0.25">
      <c r="B238" s="4">
        <v>45801</v>
      </c>
      <c r="C238" t="s">
        <v>70</v>
      </c>
      <c r="E238" t="s">
        <v>25</v>
      </c>
      <c r="F238" t="s">
        <v>82</v>
      </c>
      <c r="G238" s="2">
        <v>1.9E-2</v>
      </c>
      <c r="H238">
        <f t="shared" si="13"/>
        <v>0.71189799999999992</v>
      </c>
      <c r="I238">
        <v>41</v>
      </c>
      <c r="J238">
        <f t="shared" si="11"/>
        <v>29.187817999999996</v>
      </c>
      <c r="K238">
        <f t="shared" si="12"/>
        <v>29.187817999999996</v>
      </c>
    </row>
    <row r="239" spans="2:11" x14ac:dyDescent="0.25">
      <c r="B239" s="4">
        <v>45801</v>
      </c>
      <c r="C239" t="s">
        <v>70</v>
      </c>
      <c r="E239" t="s">
        <v>26</v>
      </c>
      <c r="F239" t="s">
        <v>82</v>
      </c>
      <c r="G239" s="2">
        <v>1.2999999999999999E-2</v>
      </c>
      <c r="H239">
        <f t="shared" si="13"/>
        <v>0.46444599999999991</v>
      </c>
      <c r="I239">
        <v>41</v>
      </c>
      <c r="J239">
        <f t="shared" si="11"/>
        <v>19.042285999999997</v>
      </c>
      <c r="K239">
        <f t="shared" si="12"/>
        <v>19.042285999999997</v>
      </c>
    </row>
    <row r="240" spans="2:11" x14ac:dyDescent="0.25">
      <c r="B240" s="4">
        <v>45801</v>
      </c>
      <c r="C240" t="s">
        <v>70</v>
      </c>
      <c r="E240" t="s">
        <v>65</v>
      </c>
      <c r="F240" t="s">
        <v>82</v>
      </c>
      <c r="G240" s="2">
        <v>2.5999999999999999E-2</v>
      </c>
      <c r="H240">
        <f t="shared" si="13"/>
        <v>1.0005919999999997</v>
      </c>
      <c r="I240">
        <v>41</v>
      </c>
      <c r="J240">
        <f t="shared" si="11"/>
        <v>41.024271999999989</v>
      </c>
      <c r="K240">
        <f t="shared" si="12"/>
        <v>41.024271999999989</v>
      </c>
    </row>
    <row r="241" spans="1:11" x14ac:dyDescent="0.25">
      <c r="B241" s="4">
        <v>45801</v>
      </c>
      <c r="C241" t="s">
        <v>70</v>
      </c>
      <c r="E241" t="s">
        <v>27</v>
      </c>
      <c r="F241" t="s">
        <v>82</v>
      </c>
      <c r="G241" s="2">
        <v>6.0000000000000001E-3</v>
      </c>
      <c r="H241">
        <f t="shared" si="13"/>
        <v>0.17575199999999996</v>
      </c>
      <c r="I241">
        <v>41</v>
      </c>
      <c r="J241">
        <f t="shared" si="11"/>
        <v>7.2058319999999982</v>
      </c>
      <c r="K241">
        <f t="shared" si="12"/>
        <v>7.2058319999999982</v>
      </c>
    </row>
    <row r="242" spans="1:11" x14ac:dyDescent="0.25">
      <c r="B242" s="4">
        <v>45801</v>
      </c>
      <c r="C242" t="s">
        <v>70</v>
      </c>
      <c r="E242" t="s">
        <v>28</v>
      </c>
      <c r="F242" t="s">
        <v>82</v>
      </c>
      <c r="G242" s="2">
        <v>8.9999999999999993E-3</v>
      </c>
      <c r="H242">
        <f t="shared" si="13"/>
        <v>0.29947799999999997</v>
      </c>
      <c r="I242">
        <v>41</v>
      </c>
      <c r="J242">
        <f t="shared" si="11"/>
        <v>12.278597999999999</v>
      </c>
      <c r="K242">
        <f t="shared" si="12"/>
        <v>12.278597999999999</v>
      </c>
    </row>
    <row r="243" spans="1:11" x14ac:dyDescent="0.25">
      <c r="B243" s="4">
        <v>45801</v>
      </c>
      <c r="C243" t="s">
        <v>70</v>
      </c>
      <c r="E243" t="s">
        <v>29</v>
      </c>
      <c r="F243" t="s">
        <v>82</v>
      </c>
      <c r="G243" s="2">
        <v>2.4E-2</v>
      </c>
      <c r="H243">
        <f t="shared" si="13"/>
        <v>0.91810799999999992</v>
      </c>
      <c r="I243">
        <v>41</v>
      </c>
      <c r="J243">
        <f t="shared" si="11"/>
        <v>37.642427999999995</v>
      </c>
      <c r="K243">
        <f t="shared" si="12"/>
        <v>37.642427999999995</v>
      </c>
    </row>
    <row r="244" spans="1:11" x14ac:dyDescent="0.25">
      <c r="B244" s="4">
        <v>45801</v>
      </c>
      <c r="C244" t="s">
        <v>70</v>
      </c>
      <c r="E244" t="s">
        <v>66</v>
      </c>
      <c r="F244" t="s">
        <v>82</v>
      </c>
      <c r="G244" s="2">
        <v>1.4999999999999999E-2</v>
      </c>
      <c r="H244">
        <f t="shared" si="13"/>
        <v>0.54692999999999992</v>
      </c>
      <c r="I244">
        <v>41</v>
      </c>
      <c r="J244">
        <f t="shared" si="11"/>
        <v>22.424129999999998</v>
      </c>
      <c r="K244">
        <f t="shared" si="12"/>
        <v>22.424129999999998</v>
      </c>
    </row>
    <row r="245" spans="1:11" x14ac:dyDescent="0.25">
      <c r="B245" s="4">
        <v>45801</v>
      </c>
      <c r="C245" t="s">
        <v>70</v>
      </c>
      <c r="D245" t="s">
        <v>67</v>
      </c>
      <c r="E245">
        <v>1</v>
      </c>
      <c r="F245" t="s">
        <v>82</v>
      </c>
      <c r="G245" s="2">
        <v>2.1999999999999999E-2</v>
      </c>
      <c r="H245">
        <f t="shared" si="13"/>
        <v>0.83562399999999992</v>
      </c>
      <c r="I245">
        <v>41</v>
      </c>
      <c r="J245">
        <f t="shared" si="11"/>
        <v>34.260583999999994</v>
      </c>
      <c r="K245">
        <f t="shared" si="12"/>
        <v>34.260583999999994</v>
      </c>
    </row>
    <row r="246" spans="1:11" x14ac:dyDescent="0.25">
      <c r="B246" s="4">
        <v>45801</v>
      </c>
      <c r="C246" t="s">
        <v>70</v>
      </c>
      <c r="D246" t="s">
        <v>67</v>
      </c>
      <c r="E246">
        <v>2</v>
      </c>
      <c r="F246" t="s">
        <v>82</v>
      </c>
      <c r="G246" s="2">
        <v>3.2000000000000001E-2</v>
      </c>
      <c r="H246">
        <f t="shared" si="13"/>
        <v>1.2480439999999999</v>
      </c>
      <c r="I246">
        <v>41</v>
      </c>
      <c r="J246">
        <f t="shared" si="11"/>
        <v>51.169803999999999</v>
      </c>
      <c r="K246">
        <f t="shared" si="12"/>
        <v>51.169803999999999</v>
      </c>
    </row>
    <row r="247" spans="1:11" x14ac:dyDescent="0.25">
      <c r="B247" s="4">
        <v>45801</v>
      </c>
      <c r="C247" t="s">
        <v>70</v>
      </c>
      <c r="D247" t="s">
        <v>67</v>
      </c>
      <c r="E247">
        <v>3</v>
      </c>
      <c r="F247" t="s">
        <v>82</v>
      </c>
      <c r="G247" s="2">
        <v>5.8999999999999997E-2</v>
      </c>
      <c r="H247">
        <f t="shared" si="13"/>
        <v>2.3615779999999997</v>
      </c>
      <c r="I247">
        <v>41</v>
      </c>
      <c r="J247">
        <f t="shared" si="11"/>
        <v>96.824697999999984</v>
      </c>
      <c r="K247">
        <f t="shared" si="12"/>
        <v>96.824697999999984</v>
      </c>
    </row>
    <row r="248" spans="1:11" x14ac:dyDescent="0.25">
      <c r="B248" s="4">
        <v>45801</v>
      </c>
      <c r="C248" t="s">
        <v>71</v>
      </c>
      <c r="E248" t="s">
        <v>13</v>
      </c>
      <c r="F248" t="s">
        <v>82</v>
      </c>
      <c r="G248" s="2">
        <v>3.3000000000000002E-2</v>
      </c>
      <c r="H248">
        <f t="shared" si="13"/>
        <v>1.2892859999999999</v>
      </c>
      <c r="I248">
        <v>41</v>
      </c>
      <c r="J248">
        <f t="shared" si="11"/>
        <v>52.860726</v>
      </c>
      <c r="K248">
        <f t="shared" si="12"/>
        <v>52.860726</v>
      </c>
    </row>
    <row r="249" spans="1:11" x14ac:dyDescent="0.25">
      <c r="B249" s="4">
        <v>45801</v>
      </c>
      <c r="C249" t="s">
        <v>71</v>
      </c>
      <c r="E249" t="s">
        <v>14</v>
      </c>
      <c r="F249" t="s">
        <v>82</v>
      </c>
      <c r="G249" s="2">
        <v>2.1000000000000001E-2</v>
      </c>
      <c r="H249">
        <f t="shared" si="13"/>
        <v>0.79438200000000003</v>
      </c>
      <c r="I249">
        <v>41</v>
      </c>
      <c r="J249">
        <f t="shared" si="11"/>
        <v>32.569662000000001</v>
      </c>
      <c r="K249">
        <f t="shared" si="12"/>
        <v>32.569662000000001</v>
      </c>
    </row>
    <row r="250" spans="1:11" x14ac:dyDescent="0.25">
      <c r="B250" s="4">
        <v>45801</v>
      </c>
      <c r="C250" t="s">
        <v>71</v>
      </c>
      <c r="E250" t="s">
        <v>15</v>
      </c>
      <c r="F250" t="s">
        <v>82</v>
      </c>
      <c r="G250" s="2">
        <v>2.5999999999999999E-2</v>
      </c>
      <c r="H250">
        <f t="shared" si="13"/>
        <v>1.0005919999999997</v>
      </c>
      <c r="I250">
        <v>41</v>
      </c>
      <c r="J250">
        <f t="shared" ref="J250:J313" si="14">H250*I250</f>
        <v>41.024271999999989</v>
      </c>
      <c r="K250">
        <f t="shared" si="12"/>
        <v>41.024271999999989</v>
      </c>
    </row>
    <row r="251" spans="1:11" x14ac:dyDescent="0.25">
      <c r="B251" s="4">
        <v>45801</v>
      </c>
      <c r="C251" t="s">
        <v>71</v>
      </c>
      <c r="E251" t="s">
        <v>61</v>
      </c>
      <c r="F251" t="s">
        <v>82</v>
      </c>
      <c r="G251" s="2">
        <v>2.1000000000000001E-2</v>
      </c>
      <c r="H251">
        <f t="shared" si="13"/>
        <v>0.79438200000000003</v>
      </c>
      <c r="I251">
        <v>41</v>
      </c>
      <c r="J251">
        <f t="shared" si="14"/>
        <v>32.569662000000001</v>
      </c>
      <c r="K251">
        <f t="shared" si="12"/>
        <v>32.569662000000001</v>
      </c>
    </row>
    <row r="252" spans="1:11" x14ac:dyDescent="0.25">
      <c r="B252" s="4">
        <v>45801</v>
      </c>
      <c r="C252" t="s">
        <v>71</v>
      </c>
      <c r="E252" t="s">
        <v>16</v>
      </c>
      <c r="F252" t="s">
        <v>82</v>
      </c>
      <c r="G252" s="2">
        <v>0.02</v>
      </c>
      <c r="H252">
        <f t="shared" si="13"/>
        <v>0.75314000000000003</v>
      </c>
      <c r="I252">
        <v>41</v>
      </c>
      <c r="J252">
        <f t="shared" si="14"/>
        <v>30.878740000000001</v>
      </c>
      <c r="K252">
        <f t="shared" si="12"/>
        <v>30.878740000000001</v>
      </c>
    </row>
    <row r="253" spans="1:11" x14ac:dyDescent="0.25">
      <c r="B253" s="4">
        <v>45801</v>
      </c>
      <c r="C253" t="s">
        <v>71</v>
      </c>
      <c r="E253" t="s">
        <v>17</v>
      </c>
      <c r="F253" t="s">
        <v>82</v>
      </c>
      <c r="G253" s="2">
        <v>8.9999999999999993E-3</v>
      </c>
      <c r="H253">
        <f t="shared" si="13"/>
        <v>0.29947799999999997</v>
      </c>
      <c r="I253">
        <v>41</v>
      </c>
      <c r="J253">
        <f t="shared" si="14"/>
        <v>12.278597999999999</v>
      </c>
      <c r="K253">
        <f t="shared" si="12"/>
        <v>12.278597999999999</v>
      </c>
    </row>
    <row r="254" spans="1:11" x14ac:dyDescent="0.25">
      <c r="B254" s="4">
        <v>45801</v>
      </c>
      <c r="C254" t="s">
        <v>71</v>
      </c>
      <c r="E254" t="s">
        <v>12</v>
      </c>
      <c r="F254" t="s">
        <v>82</v>
      </c>
      <c r="G254" s="2">
        <v>3.0000000000000001E-3</v>
      </c>
      <c r="H254">
        <f t="shared" si="13"/>
        <v>5.2025999999999989E-2</v>
      </c>
      <c r="I254">
        <v>41</v>
      </c>
      <c r="J254">
        <f t="shared" si="14"/>
        <v>2.1330659999999995</v>
      </c>
      <c r="K254">
        <f t="shared" si="12"/>
        <v>2.1330659999999995</v>
      </c>
    </row>
    <row r="255" spans="1:11" x14ac:dyDescent="0.25">
      <c r="B255" s="4">
        <v>45801</v>
      </c>
      <c r="C255" t="s">
        <v>71</v>
      </c>
      <c r="E255" t="s">
        <v>62</v>
      </c>
      <c r="F255" t="s">
        <v>82</v>
      </c>
      <c r="G255" s="2">
        <v>1.7999999999999999E-2</v>
      </c>
      <c r="H255">
        <f t="shared" si="13"/>
        <v>0.67065599999999992</v>
      </c>
      <c r="I255">
        <v>41</v>
      </c>
      <c r="J255">
        <f t="shared" si="14"/>
        <v>27.496895999999996</v>
      </c>
      <c r="K255">
        <f t="shared" si="12"/>
        <v>27.496895999999996</v>
      </c>
    </row>
    <row r="256" spans="1:11" x14ac:dyDescent="0.25">
      <c r="A256" s="3"/>
      <c r="B256" s="5">
        <v>45801</v>
      </c>
      <c r="C256" s="3" t="s">
        <v>71</v>
      </c>
      <c r="D256" s="3"/>
      <c r="E256" s="3" t="s">
        <v>18</v>
      </c>
      <c r="F256" t="s">
        <v>82</v>
      </c>
      <c r="G256" s="3"/>
      <c r="I256">
        <v>41</v>
      </c>
      <c r="K256">
        <f t="shared" si="12"/>
        <v>0</v>
      </c>
    </row>
    <row r="257" spans="2:11" x14ac:dyDescent="0.25">
      <c r="B257" s="4">
        <v>45801</v>
      </c>
      <c r="C257" t="s">
        <v>71</v>
      </c>
      <c r="E257" t="s">
        <v>19</v>
      </c>
      <c r="F257" t="s">
        <v>82</v>
      </c>
      <c r="G257" s="2">
        <v>1.7999999999999999E-2</v>
      </c>
      <c r="H257">
        <f t="shared" si="13"/>
        <v>0.67065599999999992</v>
      </c>
      <c r="I257">
        <v>41</v>
      </c>
      <c r="J257">
        <f t="shared" si="14"/>
        <v>27.496895999999996</v>
      </c>
      <c r="K257">
        <f t="shared" si="12"/>
        <v>27.496895999999996</v>
      </c>
    </row>
    <row r="258" spans="2:11" x14ac:dyDescent="0.25">
      <c r="B258" s="4">
        <v>45801</v>
      </c>
      <c r="C258" t="s">
        <v>71</v>
      </c>
      <c r="E258" t="s">
        <v>20</v>
      </c>
      <c r="F258" t="s">
        <v>82</v>
      </c>
      <c r="G258" s="2">
        <v>2.5999999999999999E-2</v>
      </c>
      <c r="H258">
        <f t="shared" si="13"/>
        <v>1.0005919999999997</v>
      </c>
      <c r="I258">
        <v>41</v>
      </c>
      <c r="J258">
        <f t="shared" si="14"/>
        <v>41.024271999999989</v>
      </c>
      <c r="K258">
        <f t="shared" si="12"/>
        <v>41.024271999999989</v>
      </c>
    </row>
    <row r="259" spans="2:11" x14ac:dyDescent="0.25">
      <c r="B259" s="4">
        <v>45801</v>
      </c>
      <c r="C259" t="s">
        <v>71</v>
      </c>
      <c r="E259" t="s">
        <v>63</v>
      </c>
      <c r="F259" t="s">
        <v>82</v>
      </c>
      <c r="G259" s="2">
        <v>1.7999999999999999E-2</v>
      </c>
      <c r="H259">
        <f t="shared" si="13"/>
        <v>0.67065599999999992</v>
      </c>
      <c r="I259">
        <v>41</v>
      </c>
      <c r="J259">
        <f t="shared" si="14"/>
        <v>27.496895999999996</v>
      </c>
      <c r="K259">
        <f t="shared" ref="K259:K322" si="15">MAX(J259,0)</f>
        <v>27.496895999999996</v>
      </c>
    </row>
    <row r="260" spans="2:11" x14ac:dyDescent="0.25">
      <c r="B260" s="4">
        <v>45801</v>
      </c>
      <c r="C260" t="s">
        <v>71</v>
      </c>
      <c r="E260" t="s">
        <v>21</v>
      </c>
      <c r="F260" t="s">
        <v>82</v>
      </c>
      <c r="G260" s="2">
        <v>2.7E-2</v>
      </c>
      <c r="H260">
        <f t="shared" si="13"/>
        <v>1.0418339999999999</v>
      </c>
      <c r="I260">
        <v>41</v>
      </c>
      <c r="J260">
        <f t="shared" si="14"/>
        <v>42.715193999999997</v>
      </c>
      <c r="K260">
        <f t="shared" si="15"/>
        <v>42.715193999999997</v>
      </c>
    </row>
    <row r="261" spans="2:11" x14ac:dyDescent="0.25">
      <c r="B261" s="4">
        <v>45801</v>
      </c>
      <c r="C261" t="s">
        <v>71</v>
      </c>
      <c r="E261" t="s">
        <v>22</v>
      </c>
      <c r="F261" t="s">
        <v>82</v>
      </c>
      <c r="G261" s="2">
        <v>1.2E-2</v>
      </c>
      <c r="H261">
        <f t="shared" si="13"/>
        <v>0.42320399999999997</v>
      </c>
      <c r="I261">
        <v>41</v>
      </c>
      <c r="J261">
        <f t="shared" si="14"/>
        <v>17.351364</v>
      </c>
      <c r="K261">
        <f t="shared" si="15"/>
        <v>17.351364</v>
      </c>
    </row>
    <row r="262" spans="2:11" x14ac:dyDescent="0.25">
      <c r="B262" s="4">
        <v>45801</v>
      </c>
      <c r="C262" t="s">
        <v>71</v>
      </c>
      <c r="E262" t="s">
        <v>23</v>
      </c>
      <c r="F262" t="s">
        <v>82</v>
      </c>
      <c r="G262" s="2">
        <v>2.5999999999999999E-2</v>
      </c>
      <c r="H262">
        <f t="shared" si="13"/>
        <v>1.0005919999999997</v>
      </c>
      <c r="I262">
        <v>41</v>
      </c>
      <c r="J262">
        <f t="shared" si="14"/>
        <v>41.024271999999989</v>
      </c>
      <c r="K262">
        <f t="shared" si="15"/>
        <v>41.024271999999989</v>
      </c>
    </row>
    <row r="263" spans="2:11" x14ac:dyDescent="0.25">
      <c r="B263" s="4">
        <v>45801</v>
      </c>
      <c r="C263" t="s">
        <v>71</v>
      </c>
      <c r="E263" t="s">
        <v>64</v>
      </c>
      <c r="F263" t="s">
        <v>82</v>
      </c>
      <c r="G263" s="2">
        <v>4.2999999999999997E-2</v>
      </c>
      <c r="H263">
        <f t="shared" si="13"/>
        <v>1.7017059999999997</v>
      </c>
      <c r="I263">
        <v>41</v>
      </c>
      <c r="J263">
        <f t="shared" si="14"/>
        <v>69.76994599999999</v>
      </c>
      <c r="K263">
        <f t="shared" si="15"/>
        <v>69.76994599999999</v>
      </c>
    </row>
    <row r="264" spans="2:11" x14ac:dyDescent="0.25">
      <c r="B264" s="4">
        <v>45801</v>
      </c>
      <c r="C264" t="s">
        <v>71</v>
      </c>
      <c r="E264" t="s">
        <v>24</v>
      </c>
      <c r="F264" t="s">
        <v>82</v>
      </c>
      <c r="G264" s="2">
        <v>6.0000000000000001E-3</v>
      </c>
      <c r="H264">
        <f t="shared" si="13"/>
        <v>0.17575199999999996</v>
      </c>
      <c r="I264">
        <v>41</v>
      </c>
      <c r="J264">
        <f t="shared" si="14"/>
        <v>7.2058319999999982</v>
      </c>
      <c r="K264">
        <f t="shared" si="15"/>
        <v>7.2058319999999982</v>
      </c>
    </row>
    <row r="265" spans="2:11" x14ac:dyDescent="0.25">
      <c r="B265" s="4">
        <v>45801</v>
      </c>
      <c r="C265" t="s">
        <v>71</v>
      </c>
      <c r="E265" t="s">
        <v>25</v>
      </c>
      <c r="F265" t="s">
        <v>82</v>
      </c>
      <c r="G265" s="2">
        <v>2.1000000000000001E-2</v>
      </c>
      <c r="H265">
        <f t="shared" si="13"/>
        <v>0.79438200000000003</v>
      </c>
      <c r="I265">
        <v>41</v>
      </c>
      <c r="J265">
        <f t="shared" si="14"/>
        <v>32.569662000000001</v>
      </c>
      <c r="K265">
        <f t="shared" si="15"/>
        <v>32.569662000000001</v>
      </c>
    </row>
    <row r="266" spans="2:11" x14ac:dyDescent="0.25">
      <c r="B266" s="4">
        <v>45801</v>
      </c>
      <c r="C266" t="s">
        <v>71</v>
      </c>
      <c r="E266" t="s">
        <v>26</v>
      </c>
      <c r="F266" t="s">
        <v>82</v>
      </c>
      <c r="G266" s="2">
        <v>0.01</v>
      </c>
      <c r="H266">
        <f t="shared" si="13"/>
        <v>0.34072000000000002</v>
      </c>
      <c r="I266">
        <v>41</v>
      </c>
      <c r="J266">
        <f t="shared" si="14"/>
        <v>13.969520000000001</v>
      </c>
      <c r="K266">
        <f t="shared" si="15"/>
        <v>13.969520000000001</v>
      </c>
    </row>
    <row r="267" spans="2:11" x14ac:dyDescent="0.25">
      <c r="B267" s="4">
        <v>45801</v>
      </c>
      <c r="C267" t="s">
        <v>71</v>
      </c>
      <c r="E267" t="s">
        <v>65</v>
      </c>
      <c r="F267" t="s">
        <v>82</v>
      </c>
      <c r="G267" s="2">
        <v>8.9999999999999993E-3</v>
      </c>
      <c r="H267">
        <f t="shared" si="13"/>
        <v>0.29947799999999997</v>
      </c>
      <c r="I267">
        <v>41</v>
      </c>
      <c r="J267">
        <f t="shared" si="14"/>
        <v>12.278597999999999</v>
      </c>
      <c r="K267">
        <f t="shared" si="15"/>
        <v>12.278597999999999</v>
      </c>
    </row>
    <row r="268" spans="2:11" x14ac:dyDescent="0.25">
      <c r="B268" s="4">
        <v>45801</v>
      </c>
      <c r="C268" t="s">
        <v>71</v>
      </c>
      <c r="E268" t="s">
        <v>27</v>
      </c>
      <c r="F268" t="s">
        <v>82</v>
      </c>
      <c r="G268" s="2">
        <v>0.01</v>
      </c>
      <c r="H268">
        <f t="shared" si="13"/>
        <v>0.34072000000000002</v>
      </c>
      <c r="I268">
        <v>41</v>
      </c>
      <c r="J268">
        <f t="shared" si="14"/>
        <v>13.969520000000001</v>
      </c>
      <c r="K268">
        <f t="shared" si="15"/>
        <v>13.969520000000001</v>
      </c>
    </row>
    <row r="269" spans="2:11" x14ac:dyDescent="0.25">
      <c r="B269" s="4">
        <v>45801</v>
      </c>
      <c r="C269" t="s">
        <v>71</v>
      </c>
      <c r="E269" t="s">
        <v>28</v>
      </c>
      <c r="F269" t="s">
        <v>82</v>
      </c>
      <c r="G269" s="2">
        <v>5.0000000000000001E-3</v>
      </c>
      <c r="H269">
        <f t="shared" ref="H269:H332" si="16">(41.242*G269)-0.0717</f>
        <v>0.13451000000000002</v>
      </c>
      <c r="I269">
        <v>41</v>
      </c>
      <c r="J269">
        <f t="shared" si="14"/>
        <v>5.5149100000000004</v>
      </c>
      <c r="K269">
        <f t="shared" si="15"/>
        <v>5.5149100000000004</v>
      </c>
    </row>
    <row r="270" spans="2:11" x14ac:dyDescent="0.25">
      <c r="B270" s="4">
        <v>45801</v>
      </c>
      <c r="C270" t="s">
        <v>71</v>
      </c>
      <c r="E270" t="s">
        <v>29</v>
      </c>
      <c r="F270" t="s">
        <v>82</v>
      </c>
      <c r="G270" s="2">
        <v>1.6E-2</v>
      </c>
      <c r="H270">
        <f t="shared" si="16"/>
        <v>0.58817200000000003</v>
      </c>
      <c r="I270">
        <v>41</v>
      </c>
      <c r="J270">
        <f t="shared" si="14"/>
        <v>24.115052000000002</v>
      </c>
      <c r="K270">
        <f t="shared" si="15"/>
        <v>24.115052000000002</v>
      </c>
    </row>
    <row r="271" spans="2:11" x14ac:dyDescent="0.25">
      <c r="B271" s="4">
        <v>45801</v>
      </c>
      <c r="C271" t="s">
        <v>71</v>
      </c>
      <c r="E271" t="s">
        <v>66</v>
      </c>
      <c r="F271" t="s">
        <v>82</v>
      </c>
      <c r="G271" s="2">
        <v>4.5999999999999999E-2</v>
      </c>
      <c r="H271">
        <f t="shared" si="16"/>
        <v>1.8254319999999997</v>
      </c>
      <c r="I271">
        <v>41</v>
      </c>
      <c r="J271">
        <f t="shared" si="14"/>
        <v>74.842711999999992</v>
      </c>
      <c r="K271">
        <f t="shared" si="15"/>
        <v>74.842711999999992</v>
      </c>
    </row>
    <row r="272" spans="2:11" x14ac:dyDescent="0.25">
      <c r="B272" s="4">
        <v>45801</v>
      </c>
      <c r="C272" t="s">
        <v>71</v>
      </c>
      <c r="D272" t="s">
        <v>67</v>
      </c>
      <c r="E272">
        <v>1</v>
      </c>
      <c r="F272" t="s">
        <v>82</v>
      </c>
      <c r="G272" s="2">
        <v>2.1000000000000001E-2</v>
      </c>
      <c r="H272">
        <f t="shared" si="16"/>
        <v>0.79438200000000003</v>
      </c>
      <c r="I272">
        <v>1</v>
      </c>
      <c r="J272">
        <f t="shared" si="14"/>
        <v>0.79438200000000003</v>
      </c>
      <c r="K272">
        <f t="shared" si="15"/>
        <v>0.79438200000000003</v>
      </c>
    </row>
    <row r="273" spans="2:11" x14ac:dyDescent="0.25">
      <c r="B273" s="4">
        <v>45801</v>
      </c>
      <c r="C273" t="s">
        <v>71</v>
      </c>
      <c r="D273" t="s">
        <v>67</v>
      </c>
      <c r="E273">
        <v>2</v>
      </c>
      <c r="F273" t="s">
        <v>82</v>
      </c>
      <c r="G273" s="2">
        <v>2.5999999999999999E-2</v>
      </c>
      <c r="H273">
        <f t="shared" si="16"/>
        <v>1.0005919999999997</v>
      </c>
      <c r="I273">
        <v>1</v>
      </c>
      <c r="J273">
        <f t="shared" si="14"/>
        <v>1.0005919999999997</v>
      </c>
      <c r="K273">
        <f t="shared" si="15"/>
        <v>1.0005919999999997</v>
      </c>
    </row>
    <row r="274" spans="2:11" x14ac:dyDescent="0.25">
      <c r="B274" s="4">
        <v>45801</v>
      </c>
      <c r="C274" t="s">
        <v>71</v>
      </c>
      <c r="D274" t="s">
        <v>67</v>
      </c>
      <c r="E274">
        <v>3</v>
      </c>
      <c r="F274" t="s">
        <v>82</v>
      </c>
      <c r="G274" s="2">
        <v>2.3E-2</v>
      </c>
      <c r="H274">
        <f t="shared" si="16"/>
        <v>0.87686599999999992</v>
      </c>
      <c r="I274">
        <v>1</v>
      </c>
      <c r="J274">
        <f t="shared" si="14"/>
        <v>0.87686599999999992</v>
      </c>
      <c r="K274">
        <f t="shared" si="15"/>
        <v>0.87686599999999992</v>
      </c>
    </row>
    <row r="275" spans="2:11" x14ac:dyDescent="0.25">
      <c r="B275" s="4">
        <v>45801</v>
      </c>
      <c r="C275" t="s">
        <v>72</v>
      </c>
      <c r="E275" t="s">
        <v>13</v>
      </c>
      <c r="F275" t="s">
        <v>82</v>
      </c>
      <c r="G275" s="2">
        <v>3.5999999999999997E-2</v>
      </c>
      <c r="H275">
        <f t="shared" si="16"/>
        <v>1.4130119999999997</v>
      </c>
      <c r="I275">
        <v>41</v>
      </c>
      <c r="J275">
        <f t="shared" si="14"/>
        <v>57.933491999999987</v>
      </c>
      <c r="K275">
        <f t="shared" si="15"/>
        <v>57.933491999999987</v>
      </c>
    </row>
    <row r="276" spans="2:11" x14ac:dyDescent="0.25">
      <c r="B276" s="4">
        <v>45801</v>
      </c>
      <c r="C276" t="s">
        <v>72</v>
      </c>
      <c r="E276" t="s">
        <v>14</v>
      </c>
      <c r="F276" t="s">
        <v>82</v>
      </c>
      <c r="G276" s="2">
        <v>0.02</v>
      </c>
      <c r="H276">
        <f t="shared" si="16"/>
        <v>0.75314000000000003</v>
      </c>
      <c r="I276">
        <v>41</v>
      </c>
      <c r="J276">
        <f t="shared" si="14"/>
        <v>30.878740000000001</v>
      </c>
      <c r="K276">
        <f t="shared" si="15"/>
        <v>30.878740000000001</v>
      </c>
    </row>
    <row r="277" spans="2:11" x14ac:dyDescent="0.25">
      <c r="B277" s="4">
        <v>45801</v>
      </c>
      <c r="C277" t="s">
        <v>72</v>
      </c>
      <c r="E277" t="s">
        <v>15</v>
      </c>
      <c r="F277" t="s">
        <v>82</v>
      </c>
      <c r="G277" s="2">
        <v>2.3E-2</v>
      </c>
      <c r="H277">
        <f t="shared" si="16"/>
        <v>0.87686599999999992</v>
      </c>
      <c r="I277">
        <v>41</v>
      </c>
      <c r="J277">
        <f t="shared" si="14"/>
        <v>35.951505999999995</v>
      </c>
      <c r="K277">
        <f t="shared" si="15"/>
        <v>35.951505999999995</v>
      </c>
    </row>
    <row r="278" spans="2:11" x14ac:dyDescent="0.25">
      <c r="B278" s="4">
        <v>45801</v>
      </c>
      <c r="C278" t="s">
        <v>72</v>
      </c>
      <c r="E278" t="s">
        <v>61</v>
      </c>
      <c r="F278" t="s">
        <v>82</v>
      </c>
      <c r="G278" s="2">
        <v>2.5000000000000001E-2</v>
      </c>
      <c r="H278">
        <f t="shared" si="16"/>
        <v>0.95935000000000004</v>
      </c>
      <c r="I278">
        <v>41</v>
      </c>
      <c r="J278">
        <f t="shared" si="14"/>
        <v>39.333350000000003</v>
      </c>
      <c r="K278">
        <f t="shared" si="15"/>
        <v>39.333350000000003</v>
      </c>
    </row>
    <row r="279" spans="2:11" x14ac:dyDescent="0.25">
      <c r="B279" s="4">
        <v>45801</v>
      </c>
      <c r="C279" t="s">
        <v>72</v>
      </c>
      <c r="E279" t="s">
        <v>16</v>
      </c>
      <c r="F279" t="s">
        <v>82</v>
      </c>
      <c r="G279" s="2">
        <v>3.1E-2</v>
      </c>
      <c r="H279">
        <f t="shared" si="16"/>
        <v>1.2068019999999997</v>
      </c>
      <c r="I279">
        <v>41</v>
      </c>
      <c r="J279">
        <f t="shared" si="14"/>
        <v>49.478881999999984</v>
      </c>
      <c r="K279">
        <f t="shared" si="15"/>
        <v>49.478881999999984</v>
      </c>
    </row>
    <row r="280" spans="2:11" x14ac:dyDescent="0.25">
      <c r="B280" s="4">
        <v>45801</v>
      </c>
      <c r="C280" t="s">
        <v>72</v>
      </c>
      <c r="E280" t="s">
        <v>17</v>
      </c>
      <c r="F280" t="s">
        <v>82</v>
      </c>
      <c r="G280" s="2">
        <v>4.5999999999999999E-2</v>
      </c>
      <c r="H280">
        <f t="shared" si="16"/>
        <v>1.8254319999999997</v>
      </c>
      <c r="I280">
        <v>41</v>
      </c>
      <c r="J280">
        <f t="shared" si="14"/>
        <v>74.842711999999992</v>
      </c>
      <c r="K280">
        <f t="shared" si="15"/>
        <v>74.842711999999992</v>
      </c>
    </row>
    <row r="281" spans="2:11" x14ac:dyDescent="0.25">
      <c r="B281" s="4">
        <v>45801</v>
      </c>
      <c r="C281" t="s">
        <v>72</v>
      </c>
      <c r="E281" t="s">
        <v>12</v>
      </c>
      <c r="F281" t="s">
        <v>82</v>
      </c>
      <c r="G281" s="2">
        <v>5.1999999999999998E-2</v>
      </c>
      <c r="H281">
        <f t="shared" si="16"/>
        <v>2.0728839999999997</v>
      </c>
      <c r="I281">
        <v>41</v>
      </c>
      <c r="J281">
        <f t="shared" si="14"/>
        <v>84.988243999999995</v>
      </c>
      <c r="K281">
        <f t="shared" si="15"/>
        <v>84.988243999999995</v>
      </c>
    </row>
    <row r="282" spans="2:11" x14ac:dyDescent="0.25">
      <c r="B282" s="4">
        <v>45801</v>
      </c>
      <c r="C282" t="s">
        <v>72</v>
      </c>
      <c r="E282" t="s">
        <v>62</v>
      </c>
      <c r="F282" t="s">
        <v>82</v>
      </c>
      <c r="G282" s="2">
        <v>5.6000000000000001E-2</v>
      </c>
      <c r="H282">
        <f t="shared" si="16"/>
        <v>2.2378520000000002</v>
      </c>
      <c r="I282">
        <v>41</v>
      </c>
      <c r="J282">
        <f t="shared" si="14"/>
        <v>91.751932000000011</v>
      </c>
      <c r="K282">
        <f t="shared" si="15"/>
        <v>91.751932000000011</v>
      </c>
    </row>
    <row r="283" spans="2:11" x14ac:dyDescent="0.25">
      <c r="B283" s="4">
        <v>45801</v>
      </c>
      <c r="C283" t="s">
        <v>72</v>
      </c>
      <c r="E283" t="s">
        <v>18</v>
      </c>
      <c r="F283" t="s">
        <v>82</v>
      </c>
      <c r="G283" s="2">
        <v>0.02</v>
      </c>
      <c r="H283">
        <f t="shared" si="16"/>
        <v>0.75314000000000003</v>
      </c>
      <c r="I283">
        <v>41</v>
      </c>
      <c r="J283">
        <f t="shared" si="14"/>
        <v>30.878740000000001</v>
      </c>
      <c r="K283">
        <f t="shared" si="15"/>
        <v>30.878740000000001</v>
      </c>
    </row>
    <row r="284" spans="2:11" x14ac:dyDescent="0.25">
      <c r="B284" s="4">
        <v>45801</v>
      </c>
      <c r="C284" t="s">
        <v>72</v>
      </c>
      <c r="E284" t="s">
        <v>19</v>
      </c>
      <c r="F284" t="s">
        <v>82</v>
      </c>
      <c r="G284" s="2">
        <v>4.7E-2</v>
      </c>
      <c r="H284">
        <f t="shared" si="16"/>
        <v>1.8666739999999997</v>
      </c>
      <c r="I284">
        <v>41</v>
      </c>
      <c r="J284">
        <f t="shared" si="14"/>
        <v>76.533633999999992</v>
      </c>
      <c r="K284">
        <f t="shared" si="15"/>
        <v>76.533633999999992</v>
      </c>
    </row>
    <row r="285" spans="2:11" x14ac:dyDescent="0.25">
      <c r="B285" s="4">
        <v>45801</v>
      </c>
      <c r="C285" t="s">
        <v>72</v>
      </c>
      <c r="E285" t="s">
        <v>20</v>
      </c>
      <c r="F285" t="s">
        <v>82</v>
      </c>
      <c r="G285" s="2">
        <v>4.5999999999999999E-2</v>
      </c>
      <c r="H285">
        <f t="shared" si="16"/>
        <v>1.8254319999999997</v>
      </c>
      <c r="I285">
        <v>41</v>
      </c>
      <c r="J285">
        <f t="shared" si="14"/>
        <v>74.842711999999992</v>
      </c>
      <c r="K285">
        <f t="shared" si="15"/>
        <v>74.842711999999992</v>
      </c>
    </row>
    <row r="286" spans="2:11" x14ac:dyDescent="0.25">
      <c r="B286" s="4">
        <v>45801</v>
      </c>
      <c r="C286" t="s">
        <v>72</v>
      </c>
      <c r="E286" t="s">
        <v>63</v>
      </c>
      <c r="F286" t="s">
        <v>82</v>
      </c>
      <c r="G286" s="2">
        <v>4.2000000000000003E-2</v>
      </c>
      <c r="H286">
        <f t="shared" si="16"/>
        <v>1.6604639999999999</v>
      </c>
      <c r="I286">
        <v>41</v>
      </c>
      <c r="J286">
        <f t="shared" si="14"/>
        <v>68.079024000000004</v>
      </c>
      <c r="K286">
        <f t="shared" si="15"/>
        <v>68.079024000000004</v>
      </c>
    </row>
    <row r="287" spans="2:11" x14ac:dyDescent="0.25">
      <c r="B287" s="4">
        <v>45801</v>
      </c>
      <c r="C287" t="s">
        <v>72</v>
      </c>
      <c r="E287" t="s">
        <v>21</v>
      </c>
      <c r="F287" t="s">
        <v>82</v>
      </c>
      <c r="G287" s="2">
        <v>3.5999999999999997E-2</v>
      </c>
      <c r="H287">
        <f t="shared" si="16"/>
        <v>1.4130119999999997</v>
      </c>
      <c r="I287">
        <v>41</v>
      </c>
      <c r="J287">
        <f t="shared" si="14"/>
        <v>57.933491999999987</v>
      </c>
      <c r="K287">
        <f t="shared" si="15"/>
        <v>57.933491999999987</v>
      </c>
    </row>
    <row r="288" spans="2:11" x14ac:dyDescent="0.25">
      <c r="B288" s="4">
        <v>45801</v>
      </c>
      <c r="C288" t="s">
        <v>72</v>
      </c>
      <c r="E288" t="s">
        <v>22</v>
      </c>
      <c r="F288" t="s">
        <v>82</v>
      </c>
      <c r="G288" s="2">
        <v>2.5000000000000001E-2</v>
      </c>
      <c r="H288">
        <f t="shared" si="16"/>
        <v>0.95935000000000004</v>
      </c>
      <c r="I288">
        <v>41</v>
      </c>
      <c r="J288">
        <f t="shared" si="14"/>
        <v>39.333350000000003</v>
      </c>
      <c r="K288">
        <f t="shared" si="15"/>
        <v>39.333350000000003</v>
      </c>
    </row>
    <row r="289" spans="2:11" x14ac:dyDescent="0.25">
      <c r="B289" s="4">
        <v>45801</v>
      </c>
      <c r="C289" t="s">
        <v>72</v>
      </c>
      <c r="E289" t="s">
        <v>23</v>
      </c>
      <c r="F289" t="s">
        <v>82</v>
      </c>
      <c r="G289" s="2">
        <v>1.2E-2</v>
      </c>
      <c r="H289">
        <f t="shared" si="16"/>
        <v>0.42320399999999997</v>
      </c>
      <c r="I289">
        <v>41</v>
      </c>
      <c r="J289">
        <f t="shared" si="14"/>
        <v>17.351364</v>
      </c>
      <c r="K289">
        <f t="shared" si="15"/>
        <v>17.351364</v>
      </c>
    </row>
    <row r="290" spans="2:11" x14ac:dyDescent="0.25">
      <c r="B290" s="4">
        <v>45801</v>
      </c>
      <c r="C290" t="s">
        <v>72</v>
      </c>
      <c r="E290" t="s">
        <v>64</v>
      </c>
      <c r="F290" t="s">
        <v>82</v>
      </c>
      <c r="G290" s="2">
        <v>2.8000000000000001E-2</v>
      </c>
      <c r="H290">
        <f t="shared" si="16"/>
        <v>1.0830759999999999</v>
      </c>
      <c r="I290">
        <v>41</v>
      </c>
      <c r="J290">
        <f t="shared" si="14"/>
        <v>44.406115999999997</v>
      </c>
      <c r="K290">
        <f t="shared" si="15"/>
        <v>44.406115999999997</v>
      </c>
    </row>
    <row r="291" spans="2:11" x14ac:dyDescent="0.25">
      <c r="B291" s="4">
        <v>45801</v>
      </c>
      <c r="C291" t="s">
        <v>72</v>
      </c>
      <c r="E291" t="s">
        <v>24</v>
      </c>
      <c r="F291" t="s">
        <v>82</v>
      </c>
      <c r="G291" s="2">
        <v>5.3999999999999999E-2</v>
      </c>
      <c r="H291">
        <f t="shared" si="16"/>
        <v>2.1553680000000002</v>
      </c>
      <c r="I291">
        <v>41</v>
      </c>
      <c r="J291">
        <f t="shared" si="14"/>
        <v>88.37008800000001</v>
      </c>
      <c r="K291">
        <f t="shared" si="15"/>
        <v>88.37008800000001</v>
      </c>
    </row>
    <row r="292" spans="2:11" x14ac:dyDescent="0.25">
      <c r="B292" s="4">
        <v>45801</v>
      </c>
      <c r="C292" t="s">
        <v>72</v>
      </c>
      <c r="E292" t="s">
        <v>25</v>
      </c>
      <c r="F292" t="s">
        <v>82</v>
      </c>
      <c r="G292" s="2">
        <v>0.106</v>
      </c>
      <c r="H292">
        <f t="shared" si="16"/>
        <v>4.2999519999999993</v>
      </c>
      <c r="I292">
        <v>41</v>
      </c>
      <c r="J292">
        <f t="shared" si="14"/>
        <v>176.29803199999998</v>
      </c>
      <c r="K292">
        <f t="shared" si="15"/>
        <v>176.29803199999998</v>
      </c>
    </row>
    <row r="293" spans="2:11" x14ac:dyDescent="0.25">
      <c r="B293" s="4">
        <v>45801</v>
      </c>
      <c r="C293" t="s">
        <v>72</v>
      </c>
      <c r="E293" t="s">
        <v>26</v>
      </c>
      <c r="F293" t="s">
        <v>82</v>
      </c>
      <c r="G293" s="2">
        <v>4.7E-2</v>
      </c>
      <c r="H293">
        <f t="shared" si="16"/>
        <v>1.8666739999999997</v>
      </c>
      <c r="I293">
        <v>41</v>
      </c>
      <c r="J293">
        <f t="shared" si="14"/>
        <v>76.533633999999992</v>
      </c>
      <c r="K293">
        <f t="shared" si="15"/>
        <v>76.533633999999992</v>
      </c>
    </row>
    <row r="294" spans="2:11" x14ac:dyDescent="0.25">
      <c r="B294" s="4">
        <v>45801</v>
      </c>
      <c r="C294" t="s">
        <v>72</v>
      </c>
      <c r="E294" t="s">
        <v>65</v>
      </c>
      <c r="F294" t="s">
        <v>82</v>
      </c>
      <c r="G294" s="2">
        <v>4.5999999999999999E-2</v>
      </c>
      <c r="H294">
        <f t="shared" si="16"/>
        <v>1.8254319999999997</v>
      </c>
      <c r="I294">
        <v>41</v>
      </c>
      <c r="J294">
        <f t="shared" si="14"/>
        <v>74.842711999999992</v>
      </c>
      <c r="K294">
        <f t="shared" si="15"/>
        <v>74.842711999999992</v>
      </c>
    </row>
    <row r="295" spans="2:11" x14ac:dyDescent="0.25">
      <c r="B295" s="4">
        <v>45801</v>
      </c>
      <c r="C295" t="s">
        <v>72</v>
      </c>
      <c r="E295" t="s">
        <v>27</v>
      </c>
      <c r="F295" t="s">
        <v>82</v>
      </c>
      <c r="G295" s="2">
        <v>2.5999999999999999E-2</v>
      </c>
      <c r="H295">
        <f t="shared" si="16"/>
        <v>1.0005919999999997</v>
      </c>
      <c r="I295">
        <v>41</v>
      </c>
      <c r="J295">
        <f t="shared" si="14"/>
        <v>41.024271999999989</v>
      </c>
      <c r="K295">
        <f t="shared" si="15"/>
        <v>41.024271999999989</v>
      </c>
    </row>
    <row r="296" spans="2:11" x14ac:dyDescent="0.25">
      <c r="B296" s="4">
        <v>45801</v>
      </c>
      <c r="C296" t="s">
        <v>72</v>
      </c>
      <c r="E296" t="s">
        <v>28</v>
      </c>
      <c r="F296" t="s">
        <v>82</v>
      </c>
      <c r="G296" s="2">
        <v>6.8000000000000005E-2</v>
      </c>
      <c r="H296">
        <f t="shared" si="16"/>
        <v>2.7327560000000002</v>
      </c>
      <c r="I296">
        <v>41</v>
      </c>
      <c r="J296">
        <f t="shared" si="14"/>
        <v>112.042996</v>
      </c>
      <c r="K296">
        <f t="shared" si="15"/>
        <v>112.042996</v>
      </c>
    </row>
    <row r="297" spans="2:11" x14ac:dyDescent="0.25">
      <c r="B297" s="4">
        <v>45801</v>
      </c>
      <c r="C297" t="s">
        <v>72</v>
      </c>
      <c r="E297" t="s">
        <v>29</v>
      </c>
      <c r="F297" t="s">
        <v>82</v>
      </c>
      <c r="G297" s="2">
        <v>8.5999999999999993E-2</v>
      </c>
      <c r="H297">
        <f t="shared" si="16"/>
        <v>3.4751119999999998</v>
      </c>
      <c r="I297">
        <v>41</v>
      </c>
      <c r="J297">
        <f t="shared" si="14"/>
        <v>142.479592</v>
      </c>
      <c r="K297">
        <f t="shared" si="15"/>
        <v>142.479592</v>
      </c>
    </row>
    <row r="298" spans="2:11" x14ac:dyDescent="0.25">
      <c r="B298" s="4">
        <v>45801</v>
      </c>
      <c r="C298" t="s">
        <v>72</v>
      </c>
      <c r="E298" t="s">
        <v>66</v>
      </c>
      <c r="F298" t="s">
        <v>82</v>
      </c>
      <c r="G298" s="2">
        <v>0.123</v>
      </c>
      <c r="H298">
        <f t="shared" si="16"/>
        <v>5.0010659999999998</v>
      </c>
      <c r="I298">
        <v>41</v>
      </c>
      <c r="J298">
        <f t="shared" si="14"/>
        <v>205.04370599999999</v>
      </c>
      <c r="K298">
        <f t="shared" si="15"/>
        <v>205.04370599999999</v>
      </c>
    </row>
    <row r="299" spans="2:11" x14ac:dyDescent="0.25">
      <c r="B299" s="4">
        <v>45814</v>
      </c>
      <c r="C299" s="2" t="s">
        <v>321</v>
      </c>
      <c r="E299" t="s">
        <v>73</v>
      </c>
      <c r="F299" t="s">
        <v>82</v>
      </c>
      <c r="G299" s="2">
        <v>6.7000000000000004E-2</v>
      </c>
      <c r="H299">
        <f t="shared" si="16"/>
        <v>2.6915140000000002</v>
      </c>
      <c r="I299">
        <v>41</v>
      </c>
      <c r="J299">
        <f t="shared" si="14"/>
        <v>110.352074</v>
      </c>
      <c r="K299">
        <f t="shared" si="15"/>
        <v>110.352074</v>
      </c>
    </row>
    <row r="300" spans="2:11" x14ac:dyDescent="0.25">
      <c r="B300" s="4">
        <v>45814</v>
      </c>
      <c r="C300" s="2" t="s">
        <v>321</v>
      </c>
      <c r="E300" t="s">
        <v>74</v>
      </c>
      <c r="F300" t="s">
        <v>82</v>
      </c>
      <c r="G300" s="2">
        <v>1.0999999999999999E-2</v>
      </c>
      <c r="H300">
        <f t="shared" si="16"/>
        <v>0.38196199999999997</v>
      </c>
      <c r="I300">
        <v>41</v>
      </c>
      <c r="J300">
        <f t="shared" si="14"/>
        <v>15.660441999999998</v>
      </c>
      <c r="K300">
        <f t="shared" si="15"/>
        <v>15.660441999999998</v>
      </c>
    </row>
    <row r="301" spans="2:11" x14ac:dyDescent="0.25">
      <c r="B301" s="4">
        <v>45814</v>
      </c>
      <c r="C301" s="2" t="s">
        <v>321</v>
      </c>
      <c r="E301" t="s">
        <v>75</v>
      </c>
      <c r="F301" t="s">
        <v>82</v>
      </c>
      <c r="G301" s="2">
        <v>2.8000000000000001E-2</v>
      </c>
      <c r="H301">
        <f t="shared" si="16"/>
        <v>1.0830759999999999</v>
      </c>
      <c r="I301">
        <v>41</v>
      </c>
      <c r="J301">
        <f t="shared" si="14"/>
        <v>44.406115999999997</v>
      </c>
      <c r="K301">
        <f t="shared" si="15"/>
        <v>44.406115999999997</v>
      </c>
    </row>
    <row r="302" spans="2:11" x14ac:dyDescent="0.25">
      <c r="B302" s="4">
        <v>45814</v>
      </c>
      <c r="C302" s="2" t="s">
        <v>321</v>
      </c>
      <c r="E302" t="s">
        <v>76</v>
      </c>
      <c r="F302" t="s">
        <v>82</v>
      </c>
      <c r="G302" s="2">
        <v>8.9999999999999993E-3</v>
      </c>
      <c r="H302">
        <f t="shared" si="16"/>
        <v>0.29947799999999997</v>
      </c>
      <c r="I302">
        <v>41</v>
      </c>
      <c r="J302">
        <f t="shared" si="14"/>
        <v>12.278597999999999</v>
      </c>
      <c r="K302">
        <f t="shared" si="15"/>
        <v>12.278597999999999</v>
      </c>
    </row>
    <row r="303" spans="2:11" x14ac:dyDescent="0.25">
      <c r="B303" s="4">
        <v>45814</v>
      </c>
      <c r="C303" s="2" t="s">
        <v>321</v>
      </c>
      <c r="E303" t="s">
        <v>77</v>
      </c>
      <c r="F303" t="s">
        <v>82</v>
      </c>
      <c r="G303" s="2">
        <v>2.1999999999999999E-2</v>
      </c>
      <c r="H303">
        <f t="shared" si="16"/>
        <v>0.83562399999999992</v>
      </c>
      <c r="I303">
        <v>41</v>
      </c>
      <c r="J303">
        <f t="shared" si="14"/>
        <v>34.260583999999994</v>
      </c>
      <c r="K303">
        <f t="shared" si="15"/>
        <v>34.260583999999994</v>
      </c>
    </row>
    <row r="304" spans="2:11" x14ac:dyDescent="0.25">
      <c r="B304" s="4">
        <v>45814</v>
      </c>
      <c r="C304" s="2" t="s">
        <v>321</v>
      </c>
      <c r="E304" t="s">
        <v>78</v>
      </c>
      <c r="F304" t="s">
        <v>82</v>
      </c>
      <c r="G304" s="2">
        <v>2.1999999999999999E-2</v>
      </c>
      <c r="H304">
        <f t="shared" si="16"/>
        <v>0.83562399999999992</v>
      </c>
      <c r="I304">
        <v>41</v>
      </c>
      <c r="J304">
        <f t="shared" si="14"/>
        <v>34.260583999999994</v>
      </c>
      <c r="K304">
        <f t="shared" si="15"/>
        <v>34.260583999999994</v>
      </c>
    </row>
    <row r="305" spans="2:11" x14ac:dyDescent="0.25">
      <c r="B305" s="4">
        <v>45814</v>
      </c>
      <c r="C305" s="2" t="s">
        <v>321</v>
      </c>
      <c r="E305" t="s">
        <v>79</v>
      </c>
      <c r="F305" t="s">
        <v>82</v>
      </c>
      <c r="G305" s="2">
        <v>4.7E-2</v>
      </c>
      <c r="H305">
        <f t="shared" si="16"/>
        <v>1.8666739999999997</v>
      </c>
      <c r="I305">
        <v>41</v>
      </c>
      <c r="J305">
        <f t="shared" si="14"/>
        <v>76.533633999999992</v>
      </c>
      <c r="K305">
        <f t="shared" si="15"/>
        <v>76.533633999999992</v>
      </c>
    </row>
    <row r="306" spans="2:11" x14ac:dyDescent="0.25">
      <c r="B306" s="4">
        <v>45814</v>
      </c>
      <c r="C306" s="2" t="s">
        <v>321</v>
      </c>
      <c r="E306" t="s">
        <v>80</v>
      </c>
      <c r="F306" t="s">
        <v>82</v>
      </c>
      <c r="G306" s="2">
        <v>4.2999999999999997E-2</v>
      </c>
      <c r="H306">
        <f t="shared" si="16"/>
        <v>1.7017059999999997</v>
      </c>
      <c r="I306">
        <v>41</v>
      </c>
      <c r="J306">
        <f t="shared" si="14"/>
        <v>69.76994599999999</v>
      </c>
      <c r="K306">
        <f t="shared" si="15"/>
        <v>69.76994599999999</v>
      </c>
    </row>
    <row r="307" spans="2:11" x14ac:dyDescent="0.25">
      <c r="B307" s="4">
        <v>45814</v>
      </c>
      <c r="C307" s="2" t="s">
        <v>321</v>
      </c>
      <c r="E307" t="s">
        <v>81</v>
      </c>
      <c r="F307" t="s">
        <v>82</v>
      </c>
      <c r="G307" s="2">
        <v>2E-3</v>
      </c>
      <c r="H307">
        <f t="shared" si="16"/>
        <v>1.0784000000000002E-2</v>
      </c>
      <c r="I307">
        <v>41</v>
      </c>
      <c r="J307">
        <f t="shared" si="14"/>
        <v>0.44214400000000009</v>
      </c>
      <c r="K307">
        <f t="shared" si="15"/>
        <v>0.44214400000000009</v>
      </c>
    </row>
    <row r="308" spans="2:11" x14ac:dyDescent="0.25">
      <c r="B308" s="4">
        <v>45814</v>
      </c>
      <c r="C308" s="2" t="s">
        <v>321</v>
      </c>
      <c r="D308" t="s">
        <v>67</v>
      </c>
      <c r="E308">
        <v>1</v>
      </c>
      <c r="F308" t="s">
        <v>82</v>
      </c>
      <c r="G308" s="2">
        <v>1.7000000000000001E-2</v>
      </c>
      <c r="H308">
        <f t="shared" si="16"/>
        <v>0.62941400000000003</v>
      </c>
      <c r="I308">
        <v>1</v>
      </c>
      <c r="J308">
        <f t="shared" si="14"/>
        <v>0.62941400000000003</v>
      </c>
      <c r="K308">
        <f t="shared" si="15"/>
        <v>0.62941400000000003</v>
      </c>
    </row>
    <row r="309" spans="2:11" x14ac:dyDescent="0.25">
      <c r="B309" s="4">
        <v>45814</v>
      </c>
      <c r="C309" s="2" t="s">
        <v>321</v>
      </c>
      <c r="D309" t="s">
        <v>67</v>
      </c>
      <c r="E309">
        <v>2</v>
      </c>
      <c r="F309" t="s">
        <v>82</v>
      </c>
      <c r="G309" s="2">
        <v>2.8000000000000001E-2</v>
      </c>
      <c r="H309">
        <f t="shared" si="16"/>
        <v>1.0830759999999999</v>
      </c>
      <c r="I309">
        <v>1</v>
      </c>
      <c r="J309">
        <f t="shared" si="14"/>
        <v>1.0830759999999999</v>
      </c>
      <c r="K309">
        <f t="shared" si="15"/>
        <v>1.0830759999999999</v>
      </c>
    </row>
    <row r="310" spans="2:11" x14ac:dyDescent="0.25">
      <c r="B310" s="4">
        <v>45814</v>
      </c>
      <c r="C310" s="2" t="s">
        <v>321</v>
      </c>
      <c r="D310" t="s">
        <v>67</v>
      </c>
      <c r="E310">
        <v>3</v>
      </c>
      <c r="F310" t="s">
        <v>82</v>
      </c>
      <c r="G310" s="2">
        <v>4.1000000000000002E-2</v>
      </c>
      <c r="H310">
        <f t="shared" si="16"/>
        <v>1.6192219999999999</v>
      </c>
      <c r="I310">
        <v>1</v>
      </c>
      <c r="J310">
        <f t="shared" si="14"/>
        <v>1.6192219999999999</v>
      </c>
      <c r="K310">
        <f t="shared" si="15"/>
        <v>1.6192219999999999</v>
      </c>
    </row>
    <row r="311" spans="2:11" x14ac:dyDescent="0.25">
      <c r="B311" s="4">
        <v>45814</v>
      </c>
      <c r="C311" s="2" t="s">
        <v>322</v>
      </c>
      <c r="E311" t="s">
        <v>73</v>
      </c>
      <c r="F311" t="s">
        <v>82</v>
      </c>
      <c r="G311" s="2">
        <v>1.4999999999999999E-2</v>
      </c>
      <c r="H311">
        <f t="shared" si="16"/>
        <v>0.54692999999999992</v>
      </c>
      <c r="I311">
        <v>41</v>
      </c>
      <c r="J311">
        <f t="shared" si="14"/>
        <v>22.424129999999998</v>
      </c>
      <c r="K311">
        <f t="shared" si="15"/>
        <v>22.424129999999998</v>
      </c>
    </row>
    <row r="312" spans="2:11" x14ac:dyDescent="0.25">
      <c r="B312" s="4">
        <v>45814</v>
      </c>
      <c r="C312" s="2" t="s">
        <v>322</v>
      </c>
      <c r="E312" t="s">
        <v>74</v>
      </c>
      <c r="F312" t="s">
        <v>82</v>
      </c>
      <c r="G312" s="2">
        <v>2.1000000000000001E-2</v>
      </c>
      <c r="H312">
        <f t="shared" si="16"/>
        <v>0.79438200000000003</v>
      </c>
      <c r="I312">
        <v>41</v>
      </c>
      <c r="J312">
        <f t="shared" si="14"/>
        <v>32.569662000000001</v>
      </c>
      <c r="K312">
        <f t="shared" si="15"/>
        <v>32.569662000000001</v>
      </c>
    </row>
    <row r="313" spans="2:11" x14ac:dyDescent="0.25">
      <c r="B313" s="4">
        <v>45814</v>
      </c>
      <c r="C313" s="2" t="s">
        <v>322</v>
      </c>
      <c r="E313" t="s">
        <v>75</v>
      </c>
      <c r="F313" t="s">
        <v>82</v>
      </c>
      <c r="G313" s="2">
        <v>3.2000000000000001E-2</v>
      </c>
      <c r="H313">
        <f t="shared" si="16"/>
        <v>1.2480439999999999</v>
      </c>
      <c r="I313">
        <v>41</v>
      </c>
      <c r="J313">
        <f t="shared" si="14"/>
        <v>51.169803999999999</v>
      </c>
      <c r="K313">
        <f t="shared" si="15"/>
        <v>51.169803999999999</v>
      </c>
    </row>
    <row r="314" spans="2:11" x14ac:dyDescent="0.25">
      <c r="B314" s="4">
        <v>45814</v>
      </c>
      <c r="C314" s="2" t="s">
        <v>322</v>
      </c>
      <c r="E314" t="s">
        <v>76</v>
      </c>
      <c r="F314" t="s">
        <v>82</v>
      </c>
      <c r="G314" s="2">
        <v>1.2E-2</v>
      </c>
      <c r="H314">
        <f t="shared" si="16"/>
        <v>0.42320399999999997</v>
      </c>
      <c r="I314">
        <v>41</v>
      </c>
      <c r="J314">
        <f t="shared" ref="J314:J377" si="17">H314*I314</f>
        <v>17.351364</v>
      </c>
      <c r="K314">
        <f t="shared" si="15"/>
        <v>17.351364</v>
      </c>
    </row>
    <row r="315" spans="2:11" x14ac:dyDescent="0.25">
      <c r="B315" s="4">
        <v>45814</v>
      </c>
      <c r="C315" s="2" t="s">
        <v>322</v>
      </c>
      <c r="E315" t="s">
        <v>77</v>
      </c>
      <c r="F315" t="s">
        <v>82</v>
      </c>
      <c r="G315" s="2">
        <v>8.9999999999999993E-3</v>
      </c>
      <c r="H315">
        <f t="shared" si="16"/>
        <v>0.29947799999999997</v>
      </c>
      <c r="I315">
        <v>41</v>
      </c>
      <c r="J315">
        <f t="shared" si="17"/>
        <v>12.278597999999999</v>
      </c>
      <c r="K315">
        <f t="shared" si="15"/>
        <v>12.278597999999999</v>
      </c>
    </row>
    <row r="316" spans="2:11" x14ac:dyDescent="0.25">
      <c r="B316" s="4">
        <v>45814</v>
      </c>
      <c r="C316" s="2" t="s">
        <v>322</v>
      </c>
      <c r="E316" t="s">
        <v>78</v>
      </c>
      <c r="F316" t="s">
        <v>82</v>
      </c>
      <c r="G316" s="2">
        <v>1.7999999999999999E-2</v>
      </c>
      <c r="H316">
        <f t="shared" si="16"/>
        <v>0.67065599999999992</v>
      </c>
      <c r="I316">
        <v>41</v>
      </c>
      <c r="J316">
        <f t="shared" si="17"/>
        <v>27.496895999999996</v>
      </c>
      <c r="K316">
        <f t="shared" si="15"/>
        <v>27.496895999999996</v>
      </c>
    </row>
    <row r="317" spans="2:11" x14ac:dyDescent="0.25">
      <c r="B317" s="4">
        <v>45814</v>
      </c>
      <c r="C317" s="2" t="s">
        <v>322</v>
      </c>
      <c r="E317" t="s">
        <v>79</v>
      </c>
      <c r="F317" t="s">
        <v>82</v>
      </c>
      <c r="G317" s="2">
        <v>1.6E-2</v>
      </c>
      <c r="H317">
        <f t="shared" si="16"/>
        <v>0.58817200000000003</v>
      </c>
      <c r="I317">
        <v>41</v>
      </c>
      <c r="J317">
        <f t="shared" si="17"/>
        <v>24.115052000000002</v>
      </c>
      <c r="K317">
        <f t="shared" si="15"/>
        <v>24.115052000000002</v>
      </c>
    </row>
    <row r="318" spans="2:11" x14ac:dyDescent="0.25">
      <c r="B318" s="4">
        <v>45814</v>
      </c>
      <c r="C318" s="2" t="s">
        <v>322</v>
      </c>
      <c r="E318" t="s">
        <v>80</v>
      </c>
      <c r="F318" t="s">
        <v>82</v>
      </c>
      <c r="G318" s="2">
        <v>2.5000000000000001E-2</v>
      </c>
      <c r="H318">
        <f t="shared" si="16"/>
        <v>0.95935000000000004</v>
      </c>
      <c r="I318">
        <v>41</v>
      </c>
      <c r="J318">
        <f t="shared" si="17"/>
        <v>39.333350000000003</v>
      </c>
      <c r="K318">
        <f t="shared" si="15"/>
        <v>39.333350000000003</v>
      </c>
    </row>
    <row r="319" spans="2:11" x14ac:dyDescent="0.25">
      <c r="B319" s="4">
        <v>45814</v>
      </c>
      <c r="C319" s="2" t="s">
        <v>322</v>
      </c>
      <c r="E319" t="s">
        <v>81</v>
      </c>
      <c r="F319" t="s">
        <v>82</v>
      </c>
      <c r="G319" s="2">
        <v>5.2999999999999999E-2</v>
      </c>
      <c r="H319">
        <f t="shared" si="16"/>
        <v>2.1141259999999997</v>
      </c>
      <c r="I319">
        <v>41</v>
      </c>
      <c r="J319">
        <f t="shared" si="17"/>
        <v>86.679165999999995</v>
      </c>
      <c r="K319">
        <f t="shared" si="15"/>
        <v>86.679165999999995</v>
      </c>
    </row>
    <row r="320" spans="2:11" x14ac:dyDescent="0.25">
      <c r="B320" s="4">
        <v>45814</v>
      </c>
      <c r="C320" s="2" t="s">
        <v>322</v>
      </c>
      <c r="D320" t="s">
        <v>67</v>
      </c>
      <c r="E320">
        <v>1</v>
      </c>
      <c r="F320" t="s">
        <v>82</v>
      </c>
      <c r="G320" s="2">
        <v>1.6E-2</v>
      </c>
      <c r="H320">
        <f t="shared" si="16"/>
        <v>0.58817200000000003</v>
      </c>
      <c r="I320">
        <v>1</v>
      </c>
      <c r="J320">
        <f t="shared" si="17"/>
        <v>0.58817200000000003</v>
      </c>
      <c r="K320">
        <f t="shared" si="15"/>
        <v>0.58817200000000003</v>
      </c>
    </row>
    <row r="321" spans="2:11" x14ac:dyDescent="0.25">
      <c r="B321" s="4">
        <v>45814</v>
      </c>
      <c r="C321" s="2" t="s">
        <v>322</v>
      </c>
      <c r="D321" t="s">
        <v>67</v>
      </c>
      <c r="E321">
        <v>2</v>
      </c>
      <c r="F321" t="s">
        <v>82</v>
      </c>
      <c r="G321" s="2">
        <v>1.7000000000000001E-2</v>
      </c>
      <c r="H321">
        <f t="shared" si="16"/>
        <v>0.62941400000000003</v>
      </c>
      <c r="I321">
        <v>1</v>
      </c>
      <c r="J321">
        <f t="shared" si="17"/>
        <v>0.62941400000000003</v>
      </c>
      <c r="K321">
        <f t="shared" si="15"/>
        <v>0.62941400000000003</v>
      </c>
    </row>
    <row r="322" spans="2:11" x14ac:dyDescent="0.25">
      <c r="B322" s="4">
        <v>45814</v>
      </c>
      <c r="C322" s="2" t="s">
        <v>322</v>
      </c>
      <c r="D322" t="s">
        <v>67</v>
      </c>
      <c r="E322">
        <v>3</v>
      </c>
      <c r="F322" t="s">
        <v>82</v>
      </c>
      <c r="G322" s="2">
        <v>1.7000000000000001E-2</v>
      </c>
      <c r="H322">
        <f t="shared" si="16"/>
        <v>0.62941400000000003</v>
      </c>
      <c r="I322">
        <v>1</v>
      </c>
      <c r="J322">
        <f t="shared" si="17"/>
        <v>0.62941400000000003</v>
      </c>
      <c r="K322">
        <f t="shared" si="15"/>
        <v>0.62941400000000003</v>
      </c>
    </row>
    <row r="323" spans="2:11" x14ac:dyDescent="0.25">
      <c r="B323" s="4">
        <v>45814</v>
      </c>
      <c r="C323" s="2" t="s">
        <v>323</v>
      </c>
      <c r="E323" t="s">
        <v>73</v>
      </c>
      <c r="F323" t="s">
        <v>82</v>
      </c>
      <c r="G323" s="2">
        <v>0</v>
      </c>
      <c r="H323">
        <f t="shared" si="16"/>
        <v>-7.17E-2</v>
      </c>
      <c r="I323">
        <v>41</v>
      </c>
      <c r="J323">
        <f t="shared" si="17"/>
        <v>-2.9397000000000002</v>
      </c>
      <c r="K323">
        <f t="shared" ref="K323:K386" si="18">MAX(J323,0)</f>
        <v>0</v>
      </c>
    </row>
    <row r="324" spans="2:11" x14ac:dyDescent="0.25">
      <c r="B324" s="4">
        <v>45814</v>
      </c>
      <c r="C324" s="2" t="s">
        <v>323</v>
      </c>
      <c r="E324" t="s">
        <v>74</v>
      </c>
      <c r="F324" t="s">
        <v>82</v>
      </c>
      <c r="G324" s="2">
        <v>3.0000000000000001E-3</v>
      </c>
      <c r="H324">
        <f t="shared" si="16"/>
        <v>5.2025999999999989E-2</v>
      </c>
      <c r="I324">
        <v>41</v>
      </c>
      <c r="J324">
        <f t="shared" si="17"/>
        <v>2.1330659999999995</v>
      </c>
      <c r="K324">
        <f t="shared" si="18"/>
        <v>2.1330659999999995</v>
      </c>
    </row>
    <row r="325" spans="2:11" x14ac:dyDescent="0.25">
      <c r="B325" s="4">
        <v>45814</v>
      </c>
      <c r="C325" s="2" t="s">
        <v>323</v>
      </c>
      <c r="E325" t="s">
        <v>75</v>
      </c>
      <c r="F325" t="s">
        <v>82</v>
      </c>
      <c r="G325" s="2">
        <v>8.9999999999999993E-3</v>
      </c>
      <c r="H325">
        <f t="shared" si="16"/>
        <v>0.29947799999999997</v>
      </c>
      <c r="I325">
        <v>41</v>
      </c>
      <c r="J325">
        <f t="shared" si="17"/>
        <v>12.278597999999999</v>
      </c>
      <c r="K325">
        <f t="shared" si="18"/>
        <v>12.278597999999999</v>
      </c>
    </row>
    <row r="326" spans="2:11" x14ac:dyDescent="0.25">
      <c r="B326" s="4">
        <v>45814</v>
      </c>
      <c r="C326" s="2" t="s">
        <v>323</v>
      </c>
      <c r="D326" t="s">
        <v>67</v>
      </c>
      <c r="E326">
        <v>1</v>
      </c>
      <c r="F326" t="s">
        <v>82</v>
      </c>
      <c r="G326" s="2">
        <v>7.4999999999999997E-2</v>
      </c>
      <c r="H326">
        <f t="shared" si="16"/>
        <v>3.0214499999999997</v>
      </c>
      <c r="I326">
        <v>1</v>
      </c>
      <c r="J326">
        <f t="shared" si="17"/>
        <v>3.0214499999999997</v>
      </c>
      <c r="K326">
        <f t="shared" si="18"/>
        <v>3.0214499999999997</v>
      </c>
    </row>
    <row r="327" spans="2:11" x14ac:dyDescent="0.25">
      <c r="B327" s="4">
        <v>45814</v>
      </c>
      <c r="C327" s="2" t="s">
        <v>323</v>
      </c>
      <c r="D327" t="s">
        <v>67</v>
      </c>
      <c r="E327">
        <v>2</v>
      </c>
      <c r="F327" t="s">
        <v>82</v>
      </c>
      <c r="G327" s="2">
        <v>1.7000000000000001E-2</v>
      </c>
      <c r="H327">
        <f t="shared" si="16"/>
        <v>0.62941400000000003</v>
      </c>
      <c r="I327">
        <v>1</v>
      </c>
      <c r="J327">
        <f t="shared" si="17"/>
        <v>0.62941400000000003</v>
      </c>
      <c r="K327">
        <f t="shared" si="18"/>
        <v>0.62941400000000003</v>
      </c>
    </row>
    <row r="328" spans="2:11" x14ac:dyDescent="0.25">
      <c r="B328" s="4">
        <v>45814</v>
      </c>
      <c r="C328" s="2" t="s">
        <v>323</v>
      </c>
      <c r="D328" t="s">
        <v>67</v>
      </c>
      <c r="E328">
        <v>3</v>
      </c>
      <c r="F328" t="s">
        <v>82</v>
      </c>
      <c r="G328" s="2">
        <v>0.02</v>
      </c>
      <c r="H328">
        <f t="shared" si="16"/>
        <v>0.75314000000000003</v>
      </c>
      <c r="I328">
        <v>1</v>
      </c>
      <c r="J328">
        <f t="shared" si="17"/>
        <v>0.75314000000000003</v>
      </c>
      <c r="K328">
        <f t="shared" si="18"/>
        <v>0.75314000000000003</v>
      </c>
    </row>
    <row r="329" spans="2:11" x14ac:dyDescent="0.25">
      <c r="B329" s="4">
        <v>45815</v>
      </c>
      <c r="C329" t="s">
        <v>70</v>
      </c>
      <c r="E329" t="s">
        <v>13</v>
      </c>
      <c r="F329" t="s">
        <v>82</v>
      </c>
      <c r="G329" s="2">
        <v>0.01</v>
      </c>
      <c r="H329">
        <f t="shared" si="16"/>
        <v>0.34072000000000002</v>
      </c>
      <c r="I329">
        <v>41</v>
      </c>
      <c r="J329">
        <f t="shared" si="17"/>
        <v>13.969520000000001</v>
      </c>
      <c r="K329">
        <f t="shared" si="18"/>
        <v>13.969520000000001</v>
      </c>
    </row>
    <row r="330" spans="2:11" x14ac:dyDescent="0.25">
      <c r="B330" s="4">
        <v>45815</v>
      </c>
      <c r="C330" t="s">
        <v>70</v>
      </c>
      <c r="E330" t="s">
        <v>14</v>
      </c>
      <c r="F330" t="s">
        <v>82</v>
      </c>
      <c r="G330" s="2">
        <v>3.0000000000000001E-3</v>
      </c>
      <c r="H330">
        <f t="shared" si="16"/>
        <v>5.2025999999999989E-2</v>
      </c>
      <c r="I330">
        <v>41</v>
      </c>
      <c r="J330">
        <f t="shared" si="17"/>
        <v>2.1330659999999995</v>
      </c>
      <c r="K330">
        <f t="shared" si="18"/>
        <v>2.1330659999999995</v>
      </c>
    </row>
    <row r="331" spans="2:11" x14ac:dyDescent="0.25">
      <c r="B331" s="4">
        <v>45815</v>
      </c>
      <c r="C331" t="s">
        <v>70</v>
      </c>
      <c r="E331" t="s">
        <v>15</v>
      </c>
      <c r="F331" t="s">
        <v>82</v>
      </c>
      <c r="G331" s="2">
        <v>1.2999999999999999E-2</v>
      </c>
      <c r="H331">
        <f t="shared" si="16"/>
        <v>0.46444599999999991</v>
      </c>
      <c r="I331">
        <v>41</v>
      </c>
      <c r="J331">
        <f t="shared" si="17"/>
        <v>19.042285999999997</v>
      </c>
      <c r="K331">
        <f t="shared" si="18"/>
        <v>19.042285999999997</v>
      </c>
    </row>
    <row r="332" spans="2:11" x14ac:dyDescent="0.25">
      <c r="B332" s="4">
        <v>45815</v>
      </c>
      <c r="C332" t="s">
        <v>70</v>
      </c>
      <c r="E332" t="s">
        <v>61</v>
      </c>
      <c r="F332" t="s">
        <v>82</v>
      </c>
      <c r="G332" s="2">
        <v>1.2E-2</v>
      </c>
      <c r="H332">
        <f t="shared" si="16"/>
        <v>0.42320399999999997</v>
      </c>
      <c r="I332">
        <v>41</v>
      </c>
      <c r="J332">
        <f t="shared" si="17"/>
        <v>17.351364</v>
      </c>
      <c r="K332">
        <f t="shared" si="18"/>
        <v>17.351364</v>
      </c>
    </row>
    <row r="333" spans="2:11" x14ac:dyDescent="0.25">
      <c r="B333" s="4">
        <v>45815</v>
      </c>
      <c r="C333" t="s">
        <v>70</v>
      </c>
      <c r="E333" t="s">
        <v>16</v>
      </c>
      <c r="F333" t="s">
        <v>82</v>
      </c>
      <c r="G333" s="2">
        <v>8.0000000000000002E-3</v>
      </c>
      <c r="H333">
        <f t="shared" ref="H333:H396" si="19">(41.242*G333)-0.0717</f>
        <v>0.25823600000000002</v>
      </c>
      <c r="I333">
        <v>41</v>
      </c>
      <c r="J333">
        <f t="shared" si="17"/>
        <v>10.587676</v>
      </c>
      <c r="K333">
        <f t="shared" si="18"/>
        <v>10.587676</v>
      </c>
    </row>
    <row r="334" spans="2:11" x14ac:dyDescent="0.25">
      <c r="B334" s="4">
        <v>45815</v>
      </c>
      <c r="C334" t="s">
        <v>70</v>
      </c>
      <c r="E334" t="s">
        <v>17</v>
      </c>
      <c r="F334" t="s">
        <v>82</v>
      </c>
      <c r="G334" s="2">
        <v>6.0000000000000001E-3</v>
      </c>
      <c r="H334">
        <f t="shared" si="19"/>
        <v>0.17575199999999996</v>
      </c>
      <c r="I334">
        <v>41</v>
      </c>
      <c r="J334">
        <f t="shared" si="17"/>
        <v>7.2058319999999982</v>
      </c>
      <c r="K334">
        <f t="shared" si="18"/>
        <v>7.2058319999999982</v>
      </c>
    </row>
    <row r="335" spans="2:11" x14ac:dyDescent="0.25">
      <c r="B335" s="4">
        <v>45815</v>
      </c>
      <c r="C335" t="s">
        <v>70</v>
      </c>
      <c r="E335" t="s">
        <v>12</v>
      </c>
      <c r="F335" t="s">
        <v>82</v>
      </c>
      <c r="G335" s="2">
        <v>1.6E-2</v>
      </c>
      <c r="H335">
        <f t="shared" si="19"/>
        <v>0.58817200000000003</v>
      </c>
      <c r="I335">
        <v>41</v>
      </c>
      <c r="J335">
        <f t="shared" si="17"/>
        <v>24.115052000000002</v>
      </c>
      <c r="K335">
        <f t="shared" si="18"/>
        <v>24.115052000000002</v>
      </c>
    </row>
    <row r="336" spans="2:11" x14ac:dyDescent="0.25">
      <c r="B336" s="4">
        <v>45815</v>
      </c>
      <c r="C336" t="s">
        <v>70</v>
      </c>
      <c r="E336" t="s">
        <v>62</v>
      </c>
      <c r="F336" t="s">
        <v>82</v>
      </c>
      <c r="G336" s="2">
        <v>1E-3</v>
      </c>
      <c r="H336">
        <f t="shared" si="19"/>
        <v>-3.0457999999999999E-2</v>
      </c>
      <c r="I336">
        <v>41</v>
      </c>
      <c r="J336">
        <f t="shared" si="17"/>
        <v>-1.2487779999999999</v>
      </c>
      <c r="K336">
        <f t="shared" si="18"/>
        <v>0</v>
      </c>
    </row>
    <row r="337" spans="2:11" x14ac:dyDescent="0.25">
      <c r="B337" s="4">
        <v>45815</v>
      </c>
      <c r="C337" t="s">
        <v>70</v>
      </c>
      <c r="E337" t="s">
        <v>18</v>
      </c>
      <c r="F337" t="s">
        <v>82</v>
      </c>
      <c r="G337" s="2">
        <v>1.2E-2</v>
      </c>
      <c r="H337">
        <f t="shared" si="19"/>
        <v>0.42320399999999997</v>
      </c>
      <c r="I337">
        <v>41</v>
      </c>
      <c r="J337">
        <f t="shared" si="17"/>
        <v>17.351364</v>
      </c>
      <c r="K337">
        <f t="shared" si="18"/>
        <v>17.351364</v>
      </c>
    </row>
    <row r="338" spans="2:11" x14ac:dyDescent="0.25">
      <c r="B338" s="4">
        <v>45815</v>
      </c>
      <c r="C338" t="s">
        <v>70</v>
      </c>
      <c r="E338" t="s">
        <v>19</v>
      </c>
      <c r="F338" t="s">
        <v>82</v>
      </c>
      <c r="G338" s="2">
        <v>8.5000000000000006E-2</v>
      </c>
      <c r="H338">
        <f t="shared" si="19"/>
        <v>3.4338700000000002</v>
      </c>
      <c r="I338">
        <v>41</v>
      </c>
      <c r="J338">
        <f t="shared" si="17"/>
        <v>140.78867</v>
      </c>
      <c r="K338">
        <f t="shared" si="18"/>
        <v>140.78867</v>
      </c>
    </row>
    <row r="339" spans="2:11" x14ac:dyDescent="0.25">
      <c r="B339" s="4">
        <v>45815</v>
      </c>
      <c r="C339" t="s">
        <v>70</v>
      </c>
      <c r="E339" t="s">
        <v>20</v>
      </c>
      <c r="F339" t="s">
        <v>82</v>
      </c>
      <c r="G339" s="2">
        <v>6.0000000000000001E-3</v>
      </c>
      <c r="H339">
        <f t="shared" si="19"/>
        <v>0.17575199999999996</v>
      </c>
      <c r="I339">
        <v>41</v>
      </c>
      <c r="J339">
        <f t="shared" si="17"/>
        <v>7.2058319999999982</v>
      </c>
      <c r="K339">
        <f t="shared" si="18"/>
        <v>7.2058319999999982</v>
      </c>
    </row>
    <row r="340" spans="2:11" x14ac:dyDescent="0.25">
      <c r="B340" s="4">
        <v>45815</v>
      </c>
      <c r="C340" t="s">
        <v>70</v>
      </c>
      <c r="E340" t="s">
        <v>63</v>
      </c>
      <c r="F340" t="s">
        <v>82</v>
      </c>
      <c r="G340" s="2">
        <v>8.0000000000000002E-3</v>
      </c>
      <c r="H340">
        <f t="shared" si="19"/>
        <v>0.25823600000000002</v>
      </c>
      <c r="I340">
        <v>41</v>
      </c>
      <c r="J340">
        <f t="shared" si="17"/>
        <v>10.587676</v>
      </c>
      <c r="K340">
        <f t="shared" si="18"/>
        <v>10.587676</v>
      </c>
    </row>
    <row r="341" spans="2:11" x14ac:dyDescent="0.25">
      <c r="B341" s="4">
        <v>45815</v>
      </c>
      <c r="C341" t="s">
        <v>70</v>
      </c>
      <c r="E341" t="s">
        <v>21</v>
      </c>
      <c r="F341" t="s">
        <v>82</v>
      </c>
      <c r="G341" s="2">
        <v>8.3000000000000004E-2</v>
      </c>
      <c r="H341">
        <f t="shared" si="19"/>
        <v>3.3513860000000002</v>
      </c>
      <c r="I341">
        <v>41</v>
      </c>
      <c r="J341">
        <f t="shared" si="17"/>
        <v>137.406826</v>
      </c>
      <c r="K341">
        <f t="shared" si="18"/>
        <v>137.406826</v>
      </c>
    </row>
    <row r="342" spans="2:11" x14ac:dyDescent="0.25">
      <c r="B342" s="4">
        <v>45815</v>
      </c>
      <c r="C342" t="s">
        <v>70</v>
      </c>
      <c r="E342" t="s">
        <v>22</v>
      </c>
      <c r="F342" t="s">
        <v>82</v>
      </c>
      <c r="G342" s="2">
        <v>0.06</v>
      </c>
      <c r="H342">
        <f t="shared" si="19"/>
        <v>2.4028199999999997</v>
      </c>
      <c r="I342">
        <v>41</v>
      </c>
      <c r="J342">
        <f t="shared" si="17"/>
        <v>98.515619999999984</v>
      </c>
      <c r="K342">
        <f t="shared" si="18"/>
        <v>98.515619999999984</v>
      </c>
    </row>
    <row r="343" spans="2:11" x14ac:dyDescent="0.25">
      <c r="B343" s="4">
        <v>45815</v>
      </c>
      <c r="C343" t="s">
        <v>70</v>
      </c>
      <c r="E343" t="s">
        <v>23</v>
      </c>
      <c r="F343" t="s">
        <v>82</v>
      </c>
      <c r="G343" s="2">
        <v>0.14000000000000001</v>
      </c>
      <c r="H343">
        <f t="shared" si="19"/>
        <v>5.7021800000000002</v>
      </c>
      <c r="I343">
        <v>41</v>
      </c>
      <c r="J343">
        <f t="shared" si="17"/>
        <v>233.78938000000002</v>
      </c>
      <c r="K343">
        <f t="shared" si="18"/>
        <v>233.78938000000002</v>
      </c>
    </row>
    <row r="344" spans="2:11" x14ac:dyDescent="0.25">
      <c r="B344" s="4">
        <v>45815</v>
      </c>
      <c r="C344" t="s">
        <v>70</v>
      </c>
      <c r="E344" t="s">
        <v>64</v>
      </c>
      <c r="F344" t="s">
        <v>82</v>
      </c>
      <c r="G344" s="2">
        <v>8.7999999999999995E-2</v>
      </c>
      <c r="H344">
        <f t="shared" si="19"/>
        <v>3.5575959999999998</v>
      </c>
      <c r="I344">
        <v>41</v>
      </c>
      <c r="J344">
        <f t="shared" si="17"/>
        <v>145.861436</v>
      </c>
      <c r="K344">
        <f t="shared" si="18"/>
        <v>145.861436</v>
      </c>
    </row>
    <row r="345" spans="2:11" x14ac:dyDescent="0.25">
      <c r="B345" s="4">
        <v>45815</v>
      </c>
      <c r="C345" t="s">
        <v>70</v>
      </c>
      <c r="E345" t="s">
        <v>24</v>
      </c>
      <c r="F345" t="s">
        <v>82</v>
      </c>
      <c r="G345" s="2">
        <v>3.1E-2</v>
      </c>
      <c r="H345">
        <f t="shared" si="19"/>
        <v>1.2068019999999997</v>
      </c>
      <c r="I345">
        <v>41</v>
      </c>
      <c r="J345">
        <f t="shared" si="17"/>
        <v>49.478881999999984</v>
      </c>
      <c r="K345">
        <f t="shared" si="18"/>
        <v>49.478881999999984</v>
      </c>
    </row>
    <row r="346" spans="2:11" x14ac:dyDescent="0.25">
      <c r="B346" s="4">
        <v>45815</v>
      </c>
      <c r="C346" t="s">
        <v>70</v>
      </c>
      <c r="E346" t="s">
        <v>25</v>
      </c>
      <c r="F346" t="s">
        <v>82</v>
      </c>
      <c r="G346" s="2">
        <v>3.4000000000000002E-2</v>
      </c>
      <c r="H346">
        <f t="shared" si="19"/>
        <v>1.3305279999999999</v>
      </c>
      <c r="I346">
        <v>41</v>
      </c>
      <c r="J346">
        <f t="shared" si="17"/>
        <v>54.551648</v>
      </c>
      <c r="K346">
        <f t="shared" si="18"/>
        <v>54.551648</v>
      </c>
    </row>
    <row r="347" spans="2:11" x14ac:dyDescent="0.25">
      <c r="B347" s="4">
        <v>45815</v>
      </c>
      <c r="C347" t="s">
        <v>70</v>
      </c>
      <c r="E347" t="s">
        <v>26</v>
      </c>
      <c r="F347" t="s">
        <v>82</v>
      </c>
      <c r="G347" s="2">
        <v>3.4000000000000002E-2</v>
      </c>
      <c r="H347">
        <f t="shared" si="19"/>
        <v>1.3305279999999999</v>
      </c>
      <c r="I347">
        <v>41</v>
      </c>
      <c r="J347">
        <f t="shared" si="17"/>
        <v>54.551648</v>
      </c>
      <c r="K347">
        <f t="shared" si="18"/>
        <v>54.551648</v>
      </c>
    </row>
    <row r="348" spans="2:11" x14ac:dyDescent="0.25">
      <c r="B348" s="4">
        <v>45815</v>
      </c>
      <c r="C348" t="s">
        <v>70</v>
      </c>
      <c r="E348" t="s">
        <v>65</v>
      </c>
      <c r="F348" t="s">
        <v>82</v>
      </c>
      <c r="G348" s="2">
        <v>8.8999999999999996E-2</v>
      </c>
      <c r="H348">
        <f t="shared" si="19"/>
        <v>3.5988379999999998</v>
      </c>
      <c r="I348">
        <v>41</v>
      </c>
      <c r="J348">
        <f t="shared" si="17"/>
        <v>147.552358</v>
      </c>
      <c r="K348">
        <f t="shared" si="18"/>
        <v>147.552358</v>
      </c>
    </row>
    <row r="349" spans="2:11" x14ac:dyDescent="0.25">
      <c r="B349" s="4">
        <v>45815</v>
      </c>
      <c r="C349" t="s">
        <v>70</v>
      </c>
      <c r="E349" t="s">
        <v>27</v>
      </c>
      <c r="F349" t="s">
        <v>82</v>
      </c>
      <c r="G349" s="2">
        <v>1.9E-2</v>
      </c>
      <c r="H349">
        <f t="shared" si="19"/>
        <v>0.71189799999999992</v>
      </c>
      <c r="I349">
        <v>41</v>
      </c>
      <c r="J349">
        <f t="shared" si="17"/>
        <v>29.187817999999996</v>
      </c>
      <c r="K349">
        <f t="shared" si="18"/>
        <v>29.187817999999996</v>
      </c>
    </row>
    <row r="350" spans="2:11" x14ac:dyDescent="0.25">
      <c r="B350" s="4">
        <v>45815</v>
      </c>
      <c r="C350" t="s">
        <v>70</v>
      </c>
      <c r="E350" t="s">
        <v>28</v>
      </c>
      <c r="F350" t="s">
        <v>82</v>
      </c>
      <c r="G350" s="2">
        <v>9.1999999999999998E-2</v>
      </c>
      <c r="H350">
        <f t="shared" si="19"/>
        <v>3.7225639999999998</v>
      </c>
      <c r="I350">
        <v>41</v>
      </c>
      <c r="J350">
        <f t="shared" si="17"/>
        <v>152.625124</v>
      </c>
      <c r="K350">
        <f t="shared" si="18"/>
        <v>152.625124</v>
      </c>
    </row>
    <row r="351" spans="2:11" x14ac:dyDescent="0.25">
      <c r="B351" s="4">
        <v>45815</v>
      </c>
      <c r="C351" t="s">
        <v>70</v>
      </c>
      <c r="E351" t="s">
        <v>29</v>
      </c>
      <c r="F351" t="s">
        <v>82</v>
      </c>
      <c r="G351" s="2">
        <v>1.7999999999999999E-2</v>
      </c>
      <c r="H351">
        <f t="shared" si="19"/>
        <v>0.67065599999999992</v>
      </c>
      <c r="I351">
        <v>41</v>
      </c>
      <c r="J351">
        <f t="shared" si="17"/>
        <v>27.496895999999996</v>
      </c>
      <c r="K351">
        <f t="shared" si="18"/>
        <v>27.496895999999996</v>
      </c>
    </row>
    <row r="352" spans="2:11" x14ac:dyDescent="0.25">
      <c r="B352" s="4">
        <v>45815</v>
      </c>
      <c r="C352" t="s">
        <v>70</v>
      </c>
      <c r="E352" t="s">
        <v>66</v>
      </c>
      <c r="F352" t="s">
        <v>82</v>
      </c>
      <c r="G352" s="2">
        <v>0.02</v>
      </c>
      <c r="H352">
        <f t="shared" si="19"/>
        <v>0.75314000000000003</v>
      </c>
      <c r="I352">
        <v>41</v>
      </c>
      <c r="J352">
        <f t="shared" si="17"/>
        <v>30.878740000000001</v>
      </c>
      <c r="K352">
        <f t="shared" si="18"/>
        <v>30.878740000000001</v>
      </c>
    </row>
    <row r="353" spans="2:11" x14ac:dyDescent="0.25">
      <c r="B353" s="4">
        <v>45815</v>
      </c>
      <c r="C353" t="s">
        <v>70</v>
      </c>
      <c r="D353" t="s">
        <v>67</v>
      </c>
      <c r="E353">
        <v>1</v>
      </c>
      <c r="F353" t="s">
        <v>82</v>
      </c>
      <c r="G353" s="2">
        <v>0.20100000000000001</v>
      </c>
      <c r="H353">
        <f t="shared" si="19"/>
        <v>8.2179420000000007</v>
      </c>
      <c r="I353">
        <v>1</v>
      </c>
      <c r="J353">
        <f t="shared" si="17"/>
        <v>8.2179420000000007</v>
      </c>
      <c r="K353">
        <f t="shared" si="18"/>
        <v>8.2179420000000007</v>
      </c>
    </row>
    <row r="354" spans="2:11" x14ac:dyDescent="0.25">
      <c r="B354" s="4">
        <v>45815</v>
      </c>
      <c r="C354" t="s">
        <v>70</v>
      </c>
      <c r="D354" t="s">
        <v>67</v>
      </c>
      <c r="E354">
        <v>2</v>
      </c>
      <c r="F354" t="s">
        <v>82</v>
      </c>
      <c r="G354" s="2">
        <v>3.7999999999999999E-2</v>
      </c>
      <c r="H354">
        <f t="shared" si="19"/>
        <v>1.4954959999999997</v>
      </c>
      <c r="I354">
        <v>1</v>
      </c>
      <c r="J354">
        <f t="shared" si="17"/>
        <v>1.4954959999999997</v>
      </c>
      <c r="K354">
        <f t="shared" si="18"/>
        <v>1.4954959999999997</v>
      </c>
    </row>
    <row r="355" spans="2:11" x14ac:dyDescent="0.25">
      <c r="B355" s="4">
        <v>45815</v>
      </c>
      <c r="C355" t="s">
        <v>70</v>
      </c>
      <c r="D355" t="s">
        <v>67</v>
      </c>
      <c r="E355">
        <v>3</v>
      </c>
      <c r="F355" t="s">
        <v>82</v>
      </c>
      <c r="G355" s="2">
        <v>7.2999999999999995E-2</v>
      </c>
      <c r="H355">
        <f t="shared" si="19"/>
        <v>2.9389659999999997</v>
      </c>
      <c r="I355">
        <v>1</v>
      </c>
      <c r="J355">
        <f t="shared" si="17"/>
        <v>2.9389659999999997</v>
      </c>
      <c r="K355">
        <f t="shared" si="18"/>
        <v>2.9389659999999997</v>
      </c>
    </row>
    <row r="356" spans="2:11" x14ac:dyDescent="0.25">
      <c r="B356" s="4">
        <v>45815</v>
      </c>
      <c r="C356" t="s">
        <v>71</v>
      </c>
      <c r="E356" t="s">
        <v>13</v>
      </c>
      <c r="F356" t="s">
        <v>82</v>
      </c>
      <c r="G356" s="2">
        <v>7.4999999999999997E-2</v>
      </c>
      <c r="H356">
        <f t="shared" si="19"/>
        <v>3.0214499999999997</v>
      </c>
      <c r="I356">
        <v>41</v>
      </c>
      <c r="J356">
        <f t="shared" si="17"/>
        <v>123.87944999999999</v>
      </c>
      <c r="K356">
        <f t="shared" si="18"/>
        <v>123.87944999999999</v>
      </c>
    </row>
    <row r="357" spans="2:11" x14ac:dyDescent="0.25">
      <c r="B357" s="4">
        <v>45815</v>
      </c>
      <c r="C357" t="s">
        <v>71</v>
      </c>
      <c r="E357" t="s">
        <v>14</v>
      </c>
      <c r="F357" t="s">
        <v>82</v>
      </c>
      <c r="G357" s="2">
        <v>3.6999999999999998E-2</v>
      </c>
      <c r="H357">
        <f t="shared" si="19"/>
        <v>1.4542539999999997</v>
      </c>
      <c r="I357">
        <v>41</v>
      </c>
      <c r="J357">
        <f t="shared" si="17"/>
        <v>59.624413999999987</v>
      </c>
      <c r="K357">
        <f t="shared" si="18"/>
        <v>59.624413999999987</v>
      </c>
    </row>
    <row r="358" spans="2:11" x14ac:dyDescent="0.25">
      <c r="B358" s="4">
        <v>45815</v>
      </c>
      <c r="C358" t="s">
        <v>71</v>
      </c>
      <c r="E358" t="s">
        <v>15</v>
      </c>
      <c r="F358" t="s">
        <v>82</v>
      </c>
      <c r="G358" s="2">
        <v>3.0000000000000001E-3</v>
      </c>
      <c r="H358">
        <f t="shared" si="19"/>
        <v>5.2025999999999989E-2</v>
      </c>
      <c r="I358">
        <v>41</v>
      </c>
      <c r="J358">
        <f t="shared" si="17"/>
        <v>2.1330659999999995</v>
      </c>
      <c r="K358">
        <f t="shared" si="18"/>
        <v>2.1330659999999995</v>
      </c>
    </row>
    <row r="359" spans="2:11" x14ac:dyDescent="0.25">
      <c r="B359" s="4">
        <v>45815</v>
      </c>
      <c r="C359" t="s">
        <v>71</v>
      </c>
      <c r="E359" t="s">
        <v>61</v>
      </c>
      <c r="F359" t="s">
        <v>82</v>
      </c>
      <c r="G359" s="2">
        <v>2.5999999999999999E-2</v>
      </c>
      <c r="H359">
        <f t="shared" si="19"/>
        <v>1.0005919999999997</v>
      </c>
      <c r="I359">
        <v>41</v>
      </c>
      <c r="J359">
        <f t="shared" si="17"/>
        <v>41.024271999999989</v>
      </c>
      <c r="K359">
        <f t="shared" si="18"/>
        <v>41.024271999999989</v>
      </c>
    </row>
    <row r="360" spans="2:11" x14ac:dyDescent="0.25">
      <c r="B360" s="4">
        <v>45815</v>
      </c>
      <c r="C360" t="s">
        <v>71</v>
      </c>
      <c r="E360" t="s">
        <v>16</v>
      </c>
      <c r="F360" t="s">
        <v>82</v>
      </c>
      <c r="G360" s="2">
        <v>1.7999999999999999E-2</v>
      </c>
      <c r="H360">
        <f t="shared" si="19"/>
        <v>0.67065599999999992</v>
      </c>
      <c r="I360">
        <v>41</v>
      </c>
      <c r="J360">
        <f t="shared" si="17"/>
        <v>27.496895999999996</v>
      </c>
      <c r="K360">
        <f t="shared" si="18"/>
        <v>27.496895999999996</v>
      </c>
    </row>
    <row r="361" spans="2:11" x14ac:dyDescent="0.25">
      <c r="B361" s="4">
        <v>45815</v>
      </c>
      <c r="C361" t="s">
        <v>71</v>
      </c>
      <c r="E361" t="s">
        <v>17</v>
      </c>
      <c r="F361" t="s">
        <v>82</v>
      </c>
      <c r="G361" s="2">
        <v>8.9999999999999993E-3</v>
      </c>
      <c r="H361">
        <f t="shared" si="19"/>
        <v>0.29947799999999997</v>
      </c>
      <c r="I361">
        <v>41</v>
      </c>
      <c r="J361">
        <f t="shared" si="17"/>
        <v>12.278597999999999</v>
      </c>
      <c r="K361">
        <f t="shared" si="18"/>
        <v>12.278597999999999</v>
      </c>
    </row>
    <row r="362" spans="2:11" x14ac:dyDescent="0.25">
      <c r="B362" s="4">
        <v>45815</v>
      </c>
      <c r="C362" t="s">
        <v>71</v>
      </c>
      <c r="E362" t="s">
        <v>12</v>
      </c>
      <c r="F362" t="s">
        <v>82</v>
      </c>
      <c r="G362" s="2">
        <v>1.7000000000000001E-2</v>
      </c>
      <c r="H362">
        <f t="shared" si="19"/>
        <v>0.62941400000000003</v>
      </c>
      <c r="I362">
        <v>41</v>
      </c>
      <c r="J362">
        <f t="shared" si="17"/>
        <v>25.805974000000003</v>
      </c>
      <c r="K362">
        <f t="shared" si="18"/>
        <v>25.805974000000003</v>
      </c>
    </row>
    <row r="363" spans="2:11" x14ac:dyDescent="0.25">
      <c r="B363" s="4">
        <v>45815</v>
      </c>
      <c r="C363" t="s">
        <v>71</v>
      </c>
      <c r="E363" t="s">
        <v>62</v>
      </c>
      <c r="F363" t="s">
        <v>82</v>
      </c>
      <c r="G363" s="2">
        <v>1.2E-2</v>
      </c>
      <c r="H363">
        <f t="shared" si="19"/>
        <v>0.42320399999999997</v>
      </c>
      <c r="I363">
        <v>41</v>
      </c>
      <c r="J363">
        <f t="shared" si="17"/>
        <v>17.351364</v>
      </c>
      <c r="K363">
        <f t="shared" si="18"/>
        <v>17.351364</v>
      </c>
    </row>
    <row r="364" spans="2:11" x14ac:dyDescent="0.25">
      <c r="B364" s="4">
        <v>45815</v>
      </c>
      <c r="C364" t="s">
        <v>71</v>
      </c>
      <c r="E364" t="s">
        <v>18</v>
      </c>
      <c r="F364" t="s">
        <v>82</v>
      </c>
      <c r="G364" s="2">
        <v>0.02</v>
      </c>
      <c r="H364">
        <f t="shared" si="19"/>
        <v>0.75314000000000003</v>
      </c>
      <c r="I364">
        <v>41</v>
      </c>
      <c r="J364">
        <f t="shared" si="17"/>
        <v>30.878740000000001</v>
      </c>
      <c r="K364">
        <f t="shared" si="18"/>
        <v>30.878740000000001</v>
      </c>
    </row>
    <row r="365" spans="2:11" x14ac:dyDescent="0.25">
      <c r="B365" s="4">
        <v>45815</v>
      </c>
      <c r="C365" t="s">
        <v>71</v>
      </c>
      <c r="E365" t="s">
        <v>19</v>
      </c>
      <c r="F365" t="s">
        <v>82</v>
      </c>
      <c r="G365" s="2">
        <v>2.7E-2</v>
      </c>
      <c r="H365">
        <f t="shared" si="19"/>
        <v>1.0418339999999999</v>
      </c>
      <c r="I365">
        <v>41</v>
      </c>
      <c r="J365">
        <f t="shared" si="17"/>
        <v>42.715193999999997</v>
      </c>
      <c r="K365">
        <f t="shared" si="18"/>
        <v>42.715193999999997</v>
      </c>
    </row>
    <row r="366" spans="2:11" x14ac:dyDescent="0.25">
      <c r="B366" s="4">
        <v>45815</v>
      </c>
      <c r="C366" t="s">
        <v>71</v>
      </c>
      <c r="E366" t="s">
        <v>20</v>
      </c>
      <c r="F366" t="s">
        <v>82</v>
      </c>
      <c r="G366" s="2">
        <v>4.3999999999999997E-2</v>
      </c>
      <c r="H366">
        <f t="shared" si="19"/>
        <v>1.7429479999999997</v>
      </c>
      <c r="I366">
        <v>41</v>
      </c>
      <c r="J366">
        <f t="shared" si="17"/>
        <v>71.460867999999991</v>
      </c>
      <c r="K366">
        <f t="shared" si="18"/>
        <v>71.460867999999991</v>
      </c>
    </row>
    <row r="367" spans="2:11" x14ac:dyDescent="0.25">
      <c r="B367" s="4">
        <v>45815</v>
      </c>
      <c r="C367" t="s">
        <v>71</v>
      </c>
      <c r="E367" t="s">
        <v>63</v>
      </c>
      <c r="F367" t="s">
        <v>82</v>
      </c>
      <c r="G367" s="2">
        <v>1.7999999999999999E-2</v>
      </c>
      <c r="H367">
        <f t="shared" si="19"/>
        <v>0.67065599999999992</v>
      </c>
      <c r="I367">
        <v>41</v>
      </c>
      <c r="J367">
        <f t="shared" si="17"/>
        <v>27.496895999999996</v>
      </c>
      <c r="K367">
        <f t="shared" si="18"/>
        <v>27.496895999999996</v>
      </c>
    </row>
    <row r="368" spans="2:11" x14ac:dyDescent="0.25">
      <c r="B368" s="4">
        <v>45815</v>
      </c>
      <c r="C368" t="s">
        <v>71</v>
      </c>
      <c r="E368" t="s">
        <v>21</v>
      </c>
      <c r="F368" t="s">
        <v>82</v>
      </c>
      <c r="G368" s="2">
        <v>2.1999999999999999E-2</v>
      </c>
      <c r="H368">
        <f t="shared" si="19"/>
        <v>0.83562399999999992</v>
      </c>
      <c r="I368">
        <v>41</v>
      </c>
      <c r="J368">
        <f t="shared" si="17"/>
        <v>34.260583999999994</v>
      </c>
      <c r="K368">
        <f t="shared" si="18"/>
        <v>34.260583999999994</v>
      </c>
    </row>
    <row r="369" spans="2:11" x14ac:dyDescent="0.25">
      <c r="B369" s="4">
        <v>45815</v>
      </c>
      <c r="C369" t="s">
        <v>71</v>
      </c>
      <c r="E369" t="s">
        <v>22</v>
      </c>
      <c r="F369" t="s">
        <v>82</v>
      </c>
      <c r="G369" s="2">
        <v>8.0000000000000002E-3</v>
      </c>
      <c r="H369">
        <f t="shared" si="19"/>
        <v>0.25823600000000002</v>
      </c>
      <c r="I369">
        <v>41</v>
      </c>
      <c r="J369">
        <f t="shared" si="17"/>
        <v>10.587676</v>
      </c>
      <c r="K369">
        <f t="shared" si="18"/>
        <v>10.587676</v>
      </c>
    </row>
    <row r="370" spans="2:11" x14ac:dyDescent="0.25">
      <c r="B370" s="4">
        <v>45815</v>
      </c>
      <c r="C370" t="s">
        <v>71</v>
      </c>
      <c r="E370" t="s">
        <v>23</v>
      </c>
      <c r="F370" t="s">
        <v>82</v>
      </c>
      <c r="G370" s="2">
        <v>2E-3</v>
      </c>
      <c r="H370">
        <f t="shared" si="19"/>
        <v>1.0784000000000002E-2</v>
      </c>
      <c r="I370">
        <v>41</v>
      </c>
      <c r="J370">
        <f t="shared" si="17"/>
        <v>0.44214400000000009</v>
      </c>
      <c r="K370">
        <f t="shared" si="18"/>
        <v>0.44214400000000009</v>
      </c>
    </row>
    <row r="371" spans="2:11" x14ac:dyDescent="0.25">
      <c r="B371" s="4">
        <v>45815</v>
      </c>
      <c r="C371" t="s">
        <v>71</v>
      </c>
      <c r="E371" t="s">
        <v>64</v>
      </c>
      <c r="F371" t="s">
        <v>82</v>
      </c>
      <c r="G371" s="2">
        <v>2.3E-2</v>
      </c>
      <c r="H371">
        <f t="shared" si="19"/>
        <v>0.87686599999999992</v>
      </c>
      <c r="I371">
        <v>41</v>
      </c>
      <c r="J371">
        <f t="shared" si="17"/>
        <v>35.951505999999995</v>
      </c>
      <c r="K371">
        <f t="shared" si="18"/>
        <v>35.951505999999995</v>
      </c>
    </row>
    <row r="372" spans="2:11" x14ac:dyDescent="0.25">
      <c r="B372" s="4">
        <v>45815</v>
      </c>
      <c r="C372" t="s">
        <v>71</v>
      </c>
      <c r="E372" t="s">
        <v>24</v>
      </c>
      <c r="F372" t="s">
        <v>82</v>
      </c>
      <c r="G372" s="2">
        <v>6.0000000000000001E-3</v>
      </c>
      <c r="H372">
        <f t="shared" si="19"/>
        <v>0.17575199999999996</v>
      </c>
      <c r="I372">
        <v>41</v>
      </c>
      <c r="J372">
        <f t="shared" si="17"/>
        <v>7.2058319999999982</v>
      </c>
      <c r="K372">
        <f t="shared" si="18"/>
        <v>7.2058319999999982</v>
      </c>
    </row>
    <row r="373" spans="2:11" x14ac:dyDescent="0.25">
      <c r="B373" s="4">
        <v>45815</v>
      </c>
      <c r="C373" t="s">
        <v>71</v>
      </c>
      <c r="E373" t="s">
        <v>25</v>
      </c>
      <c r="F373" t="s">
        <v>82</v>
      </c>
      <c r="G373" s="2">
        <v>3.3000000000000002E-2</v>
      </c>
      <c r="H373">
        <f t="shared" si="19"/>
        <v>1.2892859999999999</v>
      </c>
      <c r="I373">
        <v>41</v>
      </c>
      <c r="J373">
        <f t="shared" si="17"/>
        <v>52.860726</v>
      </c>
      <c r="K373">
        <f t="shared" si="18"/>
        <v>52.860726</v>
      </c>
    </row>
    <row r="374" spans="2:11" x14ac:dyDescent="0.25">
      <c r="B374" s="4">
        <v>45815</v>
      </c>
      <c r="C374" t="s">
        <v>71</v>
      </c>
      <c r="E374" t="s">
        <v>26</v>
      </c>
      <c r="F374" t="s">
        <v>82</v>
      </c>
      <c r="G374" s="2">
        <v>8.0000000000000002E-3</v>
      </c>
      <c r="H374">
        <f t="shared" si="19"/>
        <v>0.25823600000000002</v>
      </c>
      <c r="I374">
        <v>41</v>
      </c>
      <c r="J374">
        <f t="shared" si="17"/>
        <v>10.587676</v>
      </c>
      <c r="K374">
        <f t="shared" si="18"/>
        <v>10.587676</v>
      </c>
    </row>
    <row r="375" spans="2:11" x14ac:dyDescent="0.25">
      <c r="B375" s="4">
        <v>45815</v>
      </c>
      <c r="C375" t="s">
        <v>71</v>
      </c>
      <c r="E375" t="s">
        <v>65</v>
      </c>
      <c r="F375" t="s">
        <v>82</v>
      </c>
      <c r="G375" s="2">
        <v>8.9999999999999993E-3</v>
      </c>
      <c r="H375">
        <f t="shared" si="19"/>
        <v>0.29947799999999997</v>
      </c>
      <c r="I375">
        <v>41</v>
      </c>
      <c r="J375">
        <f t="shared" si="17"/>
        <v>12.278597999999999</v>
      </c>
      <c r="K375">
        <f t="shared" si="18"/>
        <v>12.278597999999999</v>
      </c>
    </row>
    <row r="376" spans="2:11" x14ac:dyDescent="0.25">
      <c r="B376" s="4">
        <v>45815</v>
      </c>
      <c r="C376" t="s">
        <v>71</v>
      </c>
      <c r="E376" t="s">
        <v>27</v>
      </c>
      <c r="F376" t="s">
        <v>82</v>
      </c>
      <c r="G376" s="2">
        <v>6.0000000000000001E-3</v>
      </c>
      <c r="H376">
        <f t="shared" si="19"/>
        <v>0.17575199999999996</v>
      </c>
      <c r="I376">
        <v>41</v>
      </c>
      <c r="J376">
        <f t="shared" si="17"/>
        <v>7.2058319999999982</v>
      </c>
      <c r="K376">
        <f t="shared" si="18"/>
        <v>7.2058319999999982</v>
      </c>
    </row>
    <row r="377" spans="2:11" x14ac:dyDescent="0.25">
      <c r="B377" s="4">
        <v>45815</v>
      </c>
      <c r="C377" t="s">
        <v>71</v>
      </c>
      <c r="E377" t="s">
        <v>28</v>
      </c>
      <c r="F377" t="s">
        <v>82</v>
      </c>
      <c r="G377" s="2">
        <v>1.4999999999999999E-2</v>
      </c>
      <c r="H377">
        <f t="shared" si="19"/>
        <v>0.54692999999999992</v>
      </c>
      <c r="I377">
        <v>41</v>
      </c>
      <c r="J377">
        <f t="shared" si="17"/>
        <v>22.424129999999998</v>
      </c>
      <c r="K377">
        <f t="shared" si="18"/>
        <v>22.424129999999998</v>
      </c>
    </row>
    <row r="378" spans="2:11" x14ac:dyDescent="0.25">
      <c r="B378" s="4">
        <v>45815</v>
      </c>
      <c r="C378" t="s">
        <v>71</v>
      </c>
      <c r="E378" t="s">
        <v>29</v>
      </c>
      <c r="F378" t="s">
        <v>82</v>
      </c>
      <c r="G378" s="2">
        <v>2.4E-2</v>
      </c>
      <c r="H378">
        <f t="shared" si="19"/>
        <v>0.91810799999999992</v>
      </c>
      <c r="I378">
        <v>41</v>
      </c>
      <c r="J378">
        <f t="shared" ref="J378:J410" si="20">H378*I378</f>
        <v>37.642427999999995</v>
      </c>
      <c r="K378">
        <f t="shared" si="18"/>
        <v>37.642427999999995</v>
      </c>
    </row>
    <row r="379" spans="2:11" x14ac:dyDescent="0.25">
      <c r="B379" s="4">
        <v>45815</v>
      </c>
      <c r="C379" t="s">
        <v>71</v>
      </c>
      <c r="E379" t="s">
        <v>66</v>
      </c>
      <c r="F379" t="s">
        <v>82</v>
      </c>
      <c r="G379" s="2">
        <v>1.2E-2</v>
      </c>
      <c r="H379">
        <f t="shared" si="19"/>
        <v>0.42320399999999997</v>
      </c>
      <c r="I379">
        <v>41</v>
      </c>
      <c r="J379">
        <f t="shared" si="20"/>
        <v>17.351364</v>
      </c>
      <c r="K379">
        <f t="shared" si="18"/>
        <v>17.351364</v>
      </c>
    </row>
    <row r="380" spans="2:11" x14ac:dyDescent="0.25">
      <c r="B380" s="4">
        <v>45815</v>
      </c>
      <c r="C380" t="s">
        <v>71</v>
      </c>
      <c r="D380" t="s">
        <v>67</v>
      </c>
      <c r="E380">
        <v>1</v>
      </c>
      <c r="F380" t="s">
        <v>82</v>
      </c>
      <c r="G380" s="2">
        <v>8.9999999999999993E-3</v>
      </c>
      <c r="H380">
        <f t="shared" si="19"/>
        <v>0.29947799999999997</v>
      </c>
      <c r="I380">
        <v>1</v>
      </c>
      <c r="J380">
        <f t="shared" si="20"/>
        <v>0.29947799999999997</v>
      </c>
      <c r="K380">
        <f t="shared" si="18"/>
        <v>0.29947799999999997</v>
      </c>
    </row>
    <row r="381" spans="2:11" x14ac:dyDescent="0.25">
      <c r="B381" s="4">
        <v>45815</v>
      </c>
      <c r="C381" t="s">
        <v>71</v>
      </c>
      <c r="D381" t="s">
        <v>67</v>
      </c>
      <c r="E381">
        <v>2</v>
      </c>
      <c r="F381" t="s">
        <v>82</v>
      </c>
      <c r="G381" s="2">
        <v>7.0000000000000001E-3</v>
      </c>
      <c r="H381">
        <f t="shared" si="19"/>
        <v>0.21699400000000002</v>
      </c>
      <c r="I381">
        <v>1</v>
      </c>
      <c r="J381">
        <f t="shared" si="20"/>
        <v>0.21699400000000002</v>
      </c>
      <c r="K381">
        <f t="shared" si="18"/>
        <v>0.21699400000000002</v>
      </c>
    </row>
    <row r="382" spans="2:11" x14ac:dyDescent="0.25">
      <c r="B382" s="4">
        <v>45815</v>
      </c>
      <c r="C382" t="s">
        <v>71</v>
      </c>
      <c r="D382" t="s">
        <v>67</v>
      </c>
      <c r="E382">
        <v>3</v>
      </c>
      <c r="F382" t="s">
        <v>82</v>
      </c>
      <c r="G382" s="2">
        <v>8.0000000000000002E-3</v>
      </c>
      <c r="H382">
        <f t="shared" si="19"/>
        <v>0.25823600000000002</v>
      </c>
      <c r="I382">
        <v>1</v>
      </c>
      <c r="J382">
        <f t="shared" si="20"/>
        <v>0.25823600000000002</v>
      </c>
      <c r="K382">
        <f t="shared" si="18"/>
        <v>0.25823600000000002</v>
      </c>
    </row>
    <row r="383" spans="2:11" x14ac:dyDescent="0.25">
      <c r="B383" s="4">
        <v>45815</v>
      </c>
      <c r="C383" t="s">
        <v>72</v>
      </c>
      <c r="E383" t="s">
        <v>13</v>
      </c>
      <c r="F383" t="s">
        <v>82</v>
      </c>
      <c r="G383" s="2">
        <v>0.14199999999999999</v>
      </c>
      <c r="H383">
        <f t="shared" si="19"/>
        <v>5.7846639999999994</v>
      </c>
      <c r="I383">
        <v>41</v>
      </c>
      <c r="J383">
        <f t="shared" si="20"/>
        <v>237.17122399999997</v>
      </c>
      <c r="K383">
        <f t="shared" si="18"/>
        <v>237.17122399999997</v>
      </c>
    </row>
    <row r="384" spans="2:11" x14ac:dyDescent="0.25">
      <c r="B384" s="4">
        <v>45815</v>
      </c>
      <c r="C384" t="s">
        <v>72</v>
      </c>
      <c r="E384" t="s">
        <v>14</v>
      </c>
      <c r="F384" t="s">
        <v>82</v>
      </c>
      <c r="G384" s="2">
        <v>0.13600000000000001</v>
      </c>
      <c r="H384">
        <f t="shared" si="19"/>
        <v>5.5372120000000002</v>
      </c>
      <c r="I384">
        <v>41</v>
      </c>
      <c r="J384">
        <f t="shared" si="20"/>
        <v>227.02569200000002</v>
      </c>
      <c r="K384">
        <f t="shared" si="18"/>
        <v>227.02569200000002</v>
      </c>
    </row>
    <row r="385" spans="2:11" x14ac:dyDescent="0.25">
      <c r="B385" s="4">
        <v>45815</v>
      </c>
      <c r="C385" t="s">
        <v>72</v>
      </c>
      <c r="E385" t="s">
        <v>15</v>
      </c>
      <c r="F385" t="s">
        <v>82</v>
      </c>
      <c r="G385" s="2">
        <v>6.2E-2</v>
      </c>
      <c r="H385">
        <f t="shared" si="19"/>
        <v>2.4853039999999997</v>
      </c>
      <c r="I385">
        <v>41</v>
      </c>
      <c r="J385">
        <f t="shared" si="20"/>
        <v>101.89746399999999</v>
      </c>
      <c r="K385">
        <f t="shared" si="18"/>
        <v>101.89746399999999</v>
      </c>
    </row>
    <row r="386" spans="2:11" x14ac:dyDescent="0.25">
      <c r="B386" s="4">
        <v>45815</v>
      </c>
      <c r="C386" t="s">
        <v>72</v>
      </c>
      <c r="E386" t="s">
        <v>61</v>
      </c>
      <c r="F386" t="s">
        <v>82</v>
      </c>
      <c r="G386" s="2">
        <v>8.7999999999999995E-2</v>
      </c>
      <c r="H386">
        <f t="shared" si="19"/>
        <v>3.5575959999999998</v>
      </c>
      <c r="I386">
        <v>41</v>
      </c>
      <c r="J386">
        <f t="shared" si="20"/>
        <v>145.861436</v>
      </c>
      <c r="K386">
        <f t="shared" si="18"/>
        <v>145.861436</v>
      </c>
    </row>
    <row r="387" spans="2:11" x14ac:dyDescent="0.25">
      <c r="B387" s="4">
        <v>45815</v>
      </c>
      <c r="C387" t="s">
        <v>72</v>
      </c>
      <c r="E387" t="s">
        <v>16</v>
      </c>
      <c r="F387" t="s">
        <v>82</v>
      </c>
      <c r="G387" s="2">
        <v>0.1</v>
      </c>
      <c r="H387">
        <f t="shared" si="19"/>
        <v>4.0525000000000002</v>
      </c>
      <c r="I387">
        <v>41</v>
      </c>
      <c r="J387">
        <f t="shared" si="20"/>
        <v>166.1525</v>
      </c>
      <c r="K387">
        <f t="shared" ref="K387:K410" si="21">MAX(J387,0)</f>
        <v>166.1525</v>
      </c>
    </row>
    <row r="388" spans="2:11" x14ac:dyDescent="0.25">
      <c r="B388" s="4">
        <v>45815</v>
      </c>
      <c r="C388" t="s">
        <v>72</v>
      </c>
      <c r="E388" t="s">
        <v>17</v>
      </c>
      <c r="F388" t="s">
        <v>82</v>
      </c>
      <c r="G388" s="2">
        <v>6.6000000000000003E-2</v>
      </c>
      <c r="H388">
        <f t="shared" si="19"/>
        <v>2.6502720000000002</v>
      </c>
      <c r="I388">
        <v>41</v>
      </c>
      <c r="J388">
        <f t="shared" si="20"/>
        <v>108.661152</v>
      </c>
      <c r="K388">
        <f t="shared" si="21"/>
        <v>108.661152</v>
      </c>
    </row>
    <row r="389" spans="2:11" x14ac:dyDescent="0.25">
      <c r="B389" s="4">
        <v>45815</v>
      </c>
      <c r="C389" t="s">
        <v>72</v>
      </c>
      <c r="E389" t="s">
        <v>12</v>
      </c>
      <c r="F389" t="s">
        <v>82</v>
      </c>
      <c r="G389" s="2">
        <v>4.2000000000000003E-2</v>
      </c>
      <c r="H389">
        <f t="shared" si="19"/>
        <v>1.6604639999999999</v>
      </c>
      <c r="I389">
        <v>41</v>
      </c>
      <c r="J389">
        <f t="shared" si="20"/>
        <v>68.079024000000004</v>
      </c>
      <c r="K389">
        <f t="shared" si="21"/>
        <v>68.079024000000004</v>
      </c>
    </row>
    <row r="390" spans="2:11" x14ac:dyDescent="0.25">
      <c r="B390" s="4">
        <v>45815</v>
      </c>
      <c r="C390" t="s">
        <v>72</v>
      </c>
      <c r="E390" t="s">
        <v>62</v>
      </c>
      <c r="F390" t="s">
        <v>82</v>
      </c>
      <c r="G390" s="2">
        <v>6.8000000000000005E-2</v>
      </c>
      <c r="H390">
        <f t="shared" si="19"/>
        <v>2.7327560000000002</v>
      </c>
      <c r="I390">
        <v>41</v>
      </c>
      <c r="J390">
        <f t="shared" si="20"/>
        <v>112.042996</v>
      </c>
      <c r="K390">
        <f t="shared" si="21"/>
        <v>112.042996</v>
      </c>
    </row>
    <row r="391" spans="2:11" x14ac:dyDescent="0.25">
      <c r="B391" s="4">
        <v>45815</v>
      </c>
      <c r="C391" t="s">
        <v>72</v>
      </c>
      <c r="E391" t="s">
        <v>18</v>
      </c>
      <c r="F391" t="s">
        <v>82</v>
      </c>
      <c r="G391" s="2">
        <v>2.1999999999999999E-2</v>
      </c>
      <c r="H391">
        <f t="shared" si="19"/>
        <v>0.83562399999999992</v>
      </c>
      <c r="I391">
        <v>41</v>
      </c>
      <c r="J391">
        <f t="shared" si="20"/>
        <v>34.260583999999994</v>
      </c>
      <c r="K391">
        <f t="shared" si="21"/>
        <v>34.260583999999994</v>
      </c>
    </row>
    <row r="392" spans="2:11" x14ac:dyDescent="0.25">
      <c r="B392" s="4">
        <v>45815</v>
      </c>
      <c r="C392" t="s">
        <v>72</v>
      </c>
      <c r="E392" t="s">
        <v>19</v>
      </c>
      <c r="F392" t="s">
        <v>82</v>
      </c>
      <c r="G392" s="2">
        <v>8.9999999999999993E-3</v>
      </c>
      <c r="H392">
        <f t="shared" si="19"/>
        <v>0.29947799999999997</v>
      </c>
      <c r="I392">
        <v>41</v>
      </c>
      <c r="J392">
        <f t="shared" si="20"/>
        <v>12.278597999999999</v>
      </c>
      <c r="K392">
        <f t="shared" si="21"/>
        <v>12.278597999999999</v>
      </c>
    </row>
    <row r="393" spans="2:11" x14ac:dyDescent="0.25">
      <c r="B393" s="4">
        <v>45815</v>
      </c>
      <c r="C393" t="s">
        <v>72</v>
      </c>
      <c r="E393" t="s">
        <v>20</v>
      </c>
      <c r="F393" t="s">
        <v>82</v>
      </c>
      <c r="G393" s="2">
        <v>3.7999999999999999E-2</v>
      </c>
      <c r="H393">
        <f t="shared" si="19"/>
        <v>1.4954959999999997</v>
      </c>
      <c r="I393">
        <v>41</v>
      </c>
      <c r="J393">
        <f t="shared" si="20"/>
        <v>61.315335999999988</v>
      </c>
      <c r="K393">
        <f t="shared" si="21"/>
        <v>61.315335999999988</v>
      </c>
    </row>
    <row r="394" spans="2:11" x14ac:dyDescent="0.25">
      <c r="B394" s="4">
        <v>45815</v>
      </c>
      <c r="C394" t="s">
        <v>72</v>
      </c>
      <c r="E394" t="s">
        <v>63</v>
      </c>
      <c r="F394" t="s">
        <v>82</v>
      </c>
      <c r="G394" s="2">
        <v>3.6999999999999998E-2</v>
      </c>
      <c r="H394">
        <f t="shared" si="19"/>
        <v>1.4542539999999997</v>
      </c>
      <c r="I394">
        <v>41</v>
      </c>
      <c r="J394">
        <f t="shared" si="20"/>
        <v>59.624413999999987</v>
      </c>
      <c r="K394">
        <f t="shared" si="21"/>
        <v>59.624413999999987</v>
      </c>
    </row>
    <row r="395" spans="2:11" x14ac:dyDescent="0.25">
      <c r="B395" s="4">
        <v>45815</v>
      </c>
      <c r="C395" t="s">
        <v>72</v>
      </c>
      <c r="E395" t="s">
        <v>21</v>
      </c>
      <c r="F395" t="s">
        <v>82</v>
      </c>
      <c r="G395">
        <v>1.2E-2</v>
      </c>
      <c r="H395">
        <f t="shared" si="19"/>
        <v>0.42320399999999997</v>
      </c>
      <c r="I395">
        <v>41</v>
      </c>
      <c r="J395">
        <f t="shared" si="20"/>
        <v>17.351364</v>
      </c>
      <c r="K395">
        <f t="shared" si="21"/>
        <v>17.351364</v>
      </c>
    </row>
    <row r="396" spans="2:11" x14ac:dyDescent="0.25">
      <c r="B396" s="4">
        <v>45815</v>
      </c>
      <c r="C396" t="s">
        <v>72</v>
      </c>
      <c r="E396" t="s">
        <v>22</v>
      </c>
      <c r="F396" t="s">
        <v>82</v>
      </c>
      <c r="G396" s="2">
        <v>0.13500000000000001</v>
      </c>
      <c r="H396">
        <f t="shared" si="19"/>
        <v>5.4959699999999998</v>
      </c>
      <c r="I396">
        <v>41</v>
      </c>
      <c r="J396">
        <f t="shared" si="20"/>
        <v>225.33476999999999</v>
      </c>
      <c r="K396">
        <f t="shared" si="21"/>
        <v>225.33476999999999</v>
      </c>
    </row>
    <row r="397" spans="2:11" x14ac:dyDescent="0.25">
      <c r="B397" s="4">
        <v>45815</v>
      </c>
      <c r="C397" t="s">
        <v>72</v>
      </c>
      <c r="E397" t="s">
        <v>23</v>
      </c>
      <c r="F397" t="s">
        <v>82</v>
      </c>
      <c r="G397" s="2">
        <v>0.109</v>
      </c>
      <c r="H397">
        <f t="shared" ref="H397:H409" si="22">(41.242*G397)-0.0717</f>
        <v>4.4236779999999998</v>
      </c>
      <c r="I397">
        <v>41</v>
      </c>
      <c r="J397">
        <f t="shared" si="20"/>
        <v>181.37079799999998</v>
      </c>
      <c r="K397">
        <f t="shared" si="21"/>
        <v>181.37079799999998</v>
      </c>
    </row>
    <row r="398" spans="2:11" x14ac:dyDescent="0.25">
      <c r="B398" s="4">
        <v>45815</v>
      </c>
      <c r="C398" t="s">
        <v>72</v>
      </c>
      <c r="E398" t="s">
        <v>64</v>
      </c>
      <c r="F398" t="s">
        <v>82</v>
      </c>
      <c r="G398" s="2">
        <v>6.8000000000000005E-2</v>
      </c>
      <c r="H398">
        <f t="shared" si="22"/>
        <v>2.7327560000000002</v>
      </c>
      <c r="I398">
        <v>41</v>
      </c>
      <c r="J398">
        <f t="shared" si="20"/>
        <v>112.042996</v>
      </c>
      <c r="K398">
        <f t="shared" si="21"/>
        <v>112.042996</v>
      </c>
    </row>
    <row r="399" spans="2:11" x14ac:dyDescent="0.25">
      <c r="B399" s="4">
        <v>45815</v>
      </c>
      <c r="C399" t="s">
        <v>72</v>
      </c>
      <c r="E399" t="s">
        <v>24</v>
      </c>
      <c r="F399" t="s">
        <v>82</v>
      </c>
      <c r="G399" s="2">
        <v>0.11</v>
      </c>
      <c r="H399">
        <f t="shared" si="22"/>
        <v>4.4649200000000002</v>
      </c>
      <c r="I399">
        <v>41</v>
      </c>
      <c r="J399">
        <f t="shared" si="20"/>
        <v>183.06172000000001</v>
      </c>
      <c r="K399">
        <f t="shared" si="21"/>
        <v>183.06172000000001</v>
      </c>
    </row>
    <row r="400" spans="2:11" x14ac:dyDescent="0.25">
      <c r="B400" s="4">
        <v>45815</v>
      </c>
      <c r="C400" t="s">
        <v>72</v>
      </c>
      <c r="E400" t="s">
        <v>25</v>
      </c>
      <c r="F400" t="s">
        <v>82</v>
      </c>
      <c r="G400" s="2">
        <v>2.7E-2</v>
      </c>
      <c r="H400">
        <f t="shared" si="22"/>
        <v>1.0418339999999999</v>
      </c>
      <c r="I400">
        <v>41</v>
      </c>
      <c r="J400">
        <f t="shared" si="20"/>
        <v>42.715193999999997</v>
      </c>
      <c r="K400">
        <f t="shared" si="21"/>
        <v>42.715193999999997</v>
      </c>
    </row>
    <row r="401" spans="2:11" x14ac:dyDescent="0.25">
      <c r="B401" s="4">
        <v>45815</v>
      </c>
      <c r="C401" t="s">
        <v>72</v>
      </c>
      <c r="E401" t="s">
        <v>26</v>
      </c>
      <c r="F401" t="s">
        <v>82</v>
      </c>
      <c r="G401" s="2">
        <v>0.02</v>
      </c>
      <c r="H401">
        <f t="shared" si="22"/>
        <v>0.75314000000000003</v>
      </c>
      <c r="I401">
        <v>41</v>
      </c>
      <c r="J401">
        <f t="shared" si="20"/>
        <v>30.878740000000001</v>
      </c>
      <c r="K401">
        <f t="shared" si="21"/>
        <v>30.878740000000001</v>
      </c>
    </row>
    <row r="402" spans="2:11" x14ac:dyDescent="0.25">
      <c r="B402" s="4">
        <v>45815</v>
      </c>
      <c r="C402" t="s">
        <v>72</v>
      </c>
      <c r="E402" t="s">
        <v>65</v>
      </c>
      <c r="F402" t="s">
        <v>82</v>
      </c>
      <c r="G402" s="2">
        <v>2.9000000000000001E-2</v>
      </c>
      <c r="H402">
        <f t="shared" si="22"/>
        <v>1.1243179999999999</v>
      </c>
      <c r="I402">
        <v>41</v>
      </c>
      <c r="J402">
        <f t="shared" si="20"/>
        <v>46.097037999999998</v>
      </c>
      <c r="K402">
        <f t="shared" si="21"/>
        <v>46.097037999999998</v>
      </c>
    </row>
    <row r="403" spans="2:11" x14ac:dyDescent="0.25">
      <c r="B403" s="4">
        <v>45815</v>
      </c>
      <c r="C403" t="s">
        <v>72</v>
      </c>
      <c r="E403" t="s">
        <v>27</v>
      </c>
      <c r="F403" t="s">
        <v>82</v>
      </c>
      <c r="G403" s="2">
        <v>2.4E-2</v>
      </c>
      <c r="H403">
        <f t="shared" si="22"/>
        <v>0.91810799999999992</v>
      </c>
      <c r="I403">
        <v>41</v>
      </c>
      <c r="J403">
        <f t="shared" si="20"/>
        <v>37.642427999999995</v>
      </c>
      <c r="K403">
        <f t="shared" si="21"/>
        <v>37.642427999999995</v>
      </c>
    </row>
    <row r="404" spans="2:11" x14ac:dyDescent="0.25">
      <c r="B404" s="4">
        <v>45815</v>
      </c>
      <c r="C404" t="s">
        <v>72</v>
      </c>
      <c r="E404" t="s">
        <v>28</v>
      </c>
      <c r="F404" t="s">
        <v>82</v>
      </c>
      <c r="G404" s="2">
        <v>3.6999999999999998E-2</v>
      </c>
      <c r="H404">
        <f t="shared" si="22"/>
        <v>1.4542539999999997</v>
      </c>
      <c r="I404">
        <v>41</v>
      </c>
      <c r="J404">
        <f t="shared" si="20"/>
        <v>59.624413999999987</v>
      </c>
      <c r="K404">
        <f t="shared" si="21"/>
        <v>59.624413999999987</v>
      </c>
    </row>
    <row r="405" spans="2:11" x14ac:dyDescent="0.25">
      <c r="B405" s="4">
        <v>45815</v>
      </c>
      <c r="C405" t="s">
        <v>72</v>
      </c>
      <c r="E405" t="s">
        <v>29</v>
      </c>
      <c r="F405" t="s">
        <v>82</v>
      </c>
      <c r="G405" s="2">
        <v>2.5000000000000001E-2</v>
      </c>
      <c r="H405">
        <f t="shared" si="22"/>
        <v>0.95935000000000004</v>
      </c>
      <c r="I405">
        <v>41</v>
      </c>
      <c r="J405">
        <f t="shared" si="20"/>
        <v>39.333350000000003</v>
      </c>
      <c r="K405">
        <f t="shared" si="21"/>
        <v>39.333350000000003</v>
      </c>
    </row>
    <row r="406" spans="2:11" x14ac:dyDescent="0.25">
      <c r="B406" s="4">
        <v>45815</v>
      </c>
      <c r="C406" t="s">
        <v>72</v>
      </c>
      <c r="E406" t="s">
        <v>66</v>
      </c>
      <c r="F406" t="s">
        <v>82</v>
      </c>
      <c r="G406" s="2">
        <v>0.02</v>
      </c>
      <c r="H406">
        <f t="shared" si="22"/>
        <v>0.75314000000000003</v>
      </c>
      <c r="I406">
        <v>41</v>
      </c>
      <c r="J406">
        <f t="shared" si="20"/>
        <v>30.878740000000001</v>
      </c>
      <c r="K406">
        <f t="shared" si="21"/>
        <v>30.878740000000001</v>
      </c>
    </row>
    <row r="407" spans="2:11" x14ac:dyDescent="0.25">
      <c r="B407" s="4">
        <v>45815</v>
      </c>
      <c r="C407" t="s">
        <v>72</v>
      </c>
      <c r="D407" t="s">
        <v>67</v>
      </c>
      <c r="E407">
        <v>1</v>
      </c>
      <c r="F407" t="s">
        <v>82</v>
      </c>
      <c r="G407" s="2">
        <v>3.5999999999999997E-2</v>
      </c>
      <c r="H407">
        <f t="shared" si="22"/>
        <v>1.4130119999999997</v>
      </c>
      <c r="I407">
        <v>1</v>
      </c>
      <c r="J407">
        <f t="shared" si="20"/>
        <v>1.4130119999999997</v>
      </c>
      <c r="K407">
        <f t="shared" si="21"/>
        <v>1.4130119999999997</v>
      </c>
    </row>
    <row r="408" spans="2:11" x14ac:dyDescent="0.25">
      <c r="B408" s="4">
        <v>45815</v>
      </c>
      <c r="C408" t="s">
        <v>72</v>
      </c>
      <c r="D408" t="s">
        <v>67</v>
      </c>
      <c r="E408">
        <v>2</v>
      </c>
      <c r="F408" t="s">
        <v>82</v>
      </c>
      <c r="G408" s="2">
        <v>1.4E-2</v>
      </c>
      <c r="H408">
        <f t="shared" si="22"/>
        <v>0.50568800000000003</v>
      </c>
      <c r="I408">
        <v>1</v>
      </c>
      <c r="J408">
        <f t="shared" si="20"/>
        <v>0.50568800000000003</v>
      </c>
      <c r="K408">
        <f t="shared" si="21"/>
        <v>0.50568800000000003</v>
      </c>
    </row>
    <row r="409" spans="2:11" x14ac:dyDescent="0.25">
      <c r="B409" s="4">
        <v>45815</v>
      </c>
      <c r="C409" t="s">
        <v>72</v>
      </c>
      <c r="D409" t="s">
        <v>67</v>
      </c>
      <c r="E409">
        <v>3</v>
      </c>
      <c r="F409" t="s">
        <v>82</v>
      </c>
      <c r="G409" s="2">
        <v>1.2999999999999999E-2</v>
      </c>
      <c r="H409">
        <f t="shared" si="22"/>
        <v>0.46444599999999991</v>
      </c>
      <c r="I409">
        <v>1</v>
      </c>
      <c r="J409">
        <f t="shared" si="20"/>
        <v>0.46444599999999991</v>
      </c>
      <c r="K409">
        <f t="shared" si="21"/>
        <v>0.46444599999999991</v>
      </c>
    </row>
    <row r="410" spans="2:11" x14ac:dyDescent="0.25">
      <c r="B410" s="4">
        <v>45861</v>
      </c>
      <c r="C410" t="s">
        <v>68</v>
      </c>
      <c r="E410" t="s">
        <v>13</v>
      </c>
      <c r="F410" t="s">
        <v>90</v>
      </c>
      <c r="G410" s="2">
        <v>0</v>
      </c>
      <c r="H410">
        <f>(54.669*G410)-0.9475</f>
        <v>-0.94750000000000001</v>
      </c>
      <c r="I410">
        <v>41</v>
      </c>
      <c r="J410">
        <f t="shared" si="20"/>
        <v>-38.847500000000004</v>
      </c>
      <c r="K410">
        <f t="shared" si="21"/>
        <v>0</v>
      </c>
    </row>
    <row r="411" spans="2:11" x14ac:dyDescent="0.25">
      <c r="B411" s="4">
        <v>45861</v>
      </c>
      <c r="C411" t="s">
        <v>68</v>
      </c>
      <c r="E411" t="s">
        <v>14</v>
      </c>
      <c r="F411" t="s">
        <v>90</v>
      </c>
      <c r="G411" s="2">
        <v>1.4E-2</v>
      </c>
      <c r="H411">
        <f>(54.669*G411)-0.9475</f>
        <v>-0.18213400000000002</v>
      </c>
      <c r="I411">
        <v>41</v>
      </c>
      <c r="J411">
        <f t="shared" ref="J411:J474" si="23">H411*I411</f>
        <v>-7.4674940000000003</v>
      </c>
      <c r="K411">
        <f t="shared" ref="K411:K474" si="24">MAX(J411,0)</f>
        <v>0</v>
      </c>
    </row>
    <row r="412" spans="2:11" x14ac:dyDescent="0.25">
      <c r="B412" s="4">
        <v>45861</v>
      </c>
      <c r="C412" t="s">
        <v>68</v>
      </c>
      <c r="E412" t="s">
        <v>15</v>
      </c>
      <c r="F412" t="s">
        <v>90</v>
      </c>
      <c r="G412" s="2">
        <v>0</v>
      </c>
      <c r="H412">
        <f t="shared" ref="H412:H475" si="25">(54.669*G412)-0.9475</f>
        <v>-0.94750000000000001</v>
      </c>
      <c r="I412">
        <v>41</v>
      </c>
      <c r="J412">
        <f t="shared" si="23"/>
        <v>-38.847500000000004</v>
      </c>
      <c r="K412">
        <f t="shared" si="24"/>
        <v>0</v>
      </c>
    </row>
    <row r="413" spans="2:11" x14ac:dyDescent="0.25">
      <c r="B413" s="4">
        <v>45861</v>
      </c>
      <c r="C413" t="s">
        <v>68</v>
      </c>
      <c r="E413" t="s">
        <v>61</v>
      </c>
      <c r="F413" t="s">
        <v>90</v>
      </c>
      <c r="G413" s="2">
        <v>0</v>
      </c>
      <c r="H413">
        <f t="shared" si="25"/>
        <v>-0.94750000000000001</v>
      </c>
      <c r="I413">
        <v>41</v>
      </c>
      <c r="J413">
        <f t="shared" si="23"/>
        <v>-38.847500000000004</v>
      </c>
      <c r="K413">
        <f t="shared" si="24"/>
        <v>0</v>
      </c>
    </row>
    <row r="414" spans="2:11" x14ac:dyDescent="0.25">
      <c r="B414" s="4">
        <v>45861</v>
      </c>
      <c r="C414" t="s">
        <v>68</v>
      </c>
      <c r="E414" t="s">
        <v>16</v>
      </c>
      <c r="F414" t="s">
        <v>90</v>
      </c>
      <c r="G414" s="2">
        <v>3.9E-2</v>
      </c>
      <c r="H414">
        <f t="shared" si="25"/>
        <v>1.1845909999999999</v>
      </c>
      <c r="I414">
        <v>41</v>
      </c>
      <c r="J414">
        <f t="shared" si="23"/>
        <v>48.568230999999997</v>
      </c>
      <c r="K414">
        <f t="shared" si="24"/>
        <v>48.568230999999997</v>
      </c>
    </row>
    <row r="415" spans="2:11" x14ac:dyDescent="0.25">
      <c r="B415" s="4">
        <v>45861</v>
      </c>
      <c r="C415" t="s">
        <v>68</v>
      </c>
      <c r="E415" t="s">
        <v>17</v>
      </c>
      <c r="F415" t="s">
        <v>90</v>
      </c>
      <c r="G415" s="2">
        <v>0</v>
      </c>
      <c r="H415">
        <f t="shared" si="25"/>
        <v>-0.94750000000000001</v>
      </c>
      <c r="I415">
        <v>41</v>
      </c>
      <c r="J415">
        <f t="shared" si="23"/>
        <v>-38.847500000000004</v>
      </c>
      <c r="K415">
        <f t="shared" si="24"/>
        <v>0</v>
      </c>
    </row>
    <row r="416" spans="2:11" x14ac:dyDescent="0.25">
      <c r="B416" s="4">
        <v>45861</v>
      </c>
      <c r="C416" t="s">
        <v>68</v>
      </c>
      <c r="E416" t="s">
        <v>12</v>
      </c>
      <c r="F416" t="s">
        <v>90</v>
      </c>
      <c r="G416" s="2">
        <v>0.01</v>
      </c>
      <c r="H416">
        <f t="shared" si="25"/>
        <v>-0.40081</v>
      </c>
      <c r="I416">
        <v>41</v>
      </c>
      <c r="J416">
        <f t="shared" si="23"/>
        <v>-16.433209999999999</v>
      </c>
      <c r="K416">
        <f t="shared" si="24"/>
        <v>0</v>
      </c>
    </row>
    <row r="417" spans="2:11" x14ac:dyDescent="0.25">
      <c r="B417" s="4">
        <v>45861</v>
      </c>
      <c r="C417" t="s">
        <v>68</v>
      </c>
      <c r="E417" t="s">
        <v>62</v>
      </c>
      <c r="F417" t="s">
        <v>90</v>
      </c>
      <c r="G417" s="2">
        <v>1E-3</v>
      </c>
      <c r="H417">
        <f t="shared" si="25"/>
        <v>-0.89283100000000004</v>
      </c>
      <c r="I417">
        <v>41</v>
      </c>
      <c r="J417">
        <f t="shared" si="23"/>
        <v>-36.606071</v>
      </c>
      <c r="K417">
        <f t="shared" si="24"/>
        <v>0</v>
      </c>
    </row>
    <row r="418" spans="2:11" x14ac:dyDescent="0.25">
      <c r="B418" s="4">
        <v>45861</v>
      </c>
      <c r="C418" t="s">
        <v>68</v>
      </c>
      <c r="E418" t="s">
        <v>18</v>
      </c>
      <c r="F418" t="s">
        <v>90</v>
      </c>
      <c r="G418" s="2">
        <v>0</v>
      </c>
      <c r="H418">
        <f t="shared" si="25"/>
        <v>-0.94750000000000001</v>
      </c>
      <c r="I418">
        <v>41</v>
      </c>
      <c r="J418">
        <f t="shared" si="23"/>
        <v>-38.847500000000004</v>
      </c>
      <c r="K418">
        <f t="shared" si="24"/>
        <v>0</v>
      </c>
    </row>
    <row r="419" spans="2:11" x14ac:dyDescent="0.25">
      <c r="B419" s="4">
        <v>45861</v>
      </c>
      <c r="C419" t="s">
        <v>68</v>
      </c>
      <c r="E419" t="s">
        <v>19</v>
      </c>
      <c r="F419" t="s">
        <v>90</v>
      </c>
      <c r="G419" s="2">
        <v>8.0000000000000002E-3</v>
      </c>
      <c r="H419">
        <f t="shared" si="25"/>
        <v>-0.51014800000000005</v>
      </c>
      <c r="I419">
        <v>41</v>
      </c>
      <c r="J419">
        <f t="shared" si="23"/>
        <v>-20.916068000000003</v>
      </c>
      <c r="K419">
        <f t="shared" si="24"/>
        <v>0</v>
      </c>
    </row>
    <row r="420" spans="2:11" x14ac:dyDescent="0.25">
      <c r="B420" s="4">
        <v>45861</v>
      </c>
      <c r="C420" t="s">
        <v>68</v>
      </c>
      <c r="E420" t="s">
        <v>20</v>
      </c>
      <c r="F420" t="s">
        <v>90</v>
      </c>
      <c r="G420" s="2">
        <v>6.0000000000000001E-3</v>
      </c>
      <c r="H420">
        <f t="shared" si="25"/>
        <v>-0.61948599999999998</v>
      </c>
      <c r="I420">
        <v>41</v>
      </c>
      <c r="J420">
        <f t="shared" si="23"/>
        <v>-25.398925999999999</v>
      </c>
      <c r="K420">
        <f t="shared" si="24"/>
        <v>0</v>
      </c>
    </row>
    <row r="421" spans="2:11" x14ac:dyDescent="0.25">
      <c r="B421" s="4">
        <v>45861</v>
      </c>
      <c r="C421" t="s">
        <v>68</v>
      </c>
      <c r="E421" t="s">
        <v>63</v>
      </c>
      <c r="F421" t="s">
        <v>90</v>
      </c>
      <c r="G421" s="2">
        <v>2E-3</v>
      </c>
      <c r="H421">
        <f t="shared" si="25"/>
        <v>-0.83816200000000007</v>
      </c>
      <c r="I421">
        <v>41</v>
      </c>
      <c r="J421">
        <f t="shared" si="23"/>
        <v>-34.364642000000003</v>
      </c>
      <c r="K421">
        <f t="shared" si="24"/>
        <v>0</v>
      </c>
    </row>
    <row r="422" spans="2:11" x14ac:dyDescent="0.25">
      <c r="B422" s="4">
        <v>45861</v>
      </c>
      <c r="C422" t="s">
        <v>68</v>
      </c>
      <c r="E422" t="s">
        <v>21</v>
      </c>
      <c r="F422" t="s">
        <v>90</v>
      </c>
      <c r="G422" s="2">
        <v>1E-3</v>
      </c>
      <c r="H422">
        <f t="shared" si="25"/>
        <v>-0.89283100000000004</v>
      </c>
      <c r="I422">
        <v>41</v>
      </c>
      <c r="J422">
        <f t="shared" si="23"/>
        <v>-36.606071</v>
      </c>
      <c r="K422">
        <f t="shared" si="24"/>
        <v>0</v>
      </c>
    </row>
    <row r="423" spans="2:11" x14ac:dyDescent="0.25">
      <c r="B423" s="4">
        <v>45861</v>
      </c>
      <c r="C423" t="s">
        <v>68</v>
      </c>
      <c r="D423" t="s">
        <v>67</v>
      </c>
      <c r="E423">
        <v>1</v>
      </c>
      <c r="F423" t="s">
        <v>90</v>
      </c>
      <c r="G423" s="2">
        <v>1E-3</v>
      </c>
      <c r="H423">
        <f t="shared" si="25"/>
        <v>-0.89283100000000004</v>
      </c>
      <c r="I423">
        <v>1</v>
      </c>
      <c r="J423">
        <f t="shared" si="23"/>
        <v>-0.89283100000000004</v>
      </c>
      <c r="K423">
        <f t="shared" si="24"/>
        <v>0</v>
      </c>
    </row>
    <row r="424" spans="2:11" x14ac:dyDescent="0.25">
      <c r="B424" s="4">
        <v>45861</v>
      </c>
      <c r="C424" t="s">
        <v>68</v>
      </c>
      <c r="D424" t="s">
        <v>67</v>
      </c>
      <c r="E424">
        <v>2</v>
      </c>
      <c r="F424" t="s">
        <v>90</v>
      </c>
      <c r="G424" s="2">
        <v>0</v>
      </c>
      <c r="H424">
        <f t="shared" si="25"/>
        <v>-0.94750000000000001</v>
      </c>
      <c r="I424">
        <v>1</v>
      </c>
      <c r="J424">
        <f t="shared" si="23"/>
        <v>-0.94750000000000001</v>
      </c>
      <c r="K424">
        <f t="shared" si="24"/>
        <v>0</v>
      </c>
    </row>
    <row r="425" spans="2:11" x14ac:dyDescent="0.25">
      <c r="B425" s="4">
        <v>45861</v>
      </c>
      <c r="C425" t="s">
        <v>34</v>
      </c>
      <c r="E425" t="s">
        <v>13</v>
      </c>
      <c r="F425" t="s">
        <v>90</v>
      </c>
      <c r="G425" s="2">
        <v>0</v>
      </c>
      <c r="H425">
        <f t="shared" si="25"/>
        <v>-0.94750000000000001</v>
      </c>
      <c r="I425">
        <v>41</v>
      </c>
      <c r="J425">
        <f t="shared" si="23"/>
        <v>-38.847500000000004</v>
      </c>
      <c r="K425">
        <f t="shared" si="24"/>
        <v>0</v>
      </c>
    </row>
    <row r="426" spans="2:11" x14ac:dyDescent="0.25">
      <c r="B426" s="4">
        <v>45861</v>
      </c>
      <c r="C426" t="s">
        <v>34</v>
      </c>
      <c r="E426" t="s">
        <v>14</v>
      </c>
      <c r="F426" t="s">
        <v>90</v>
      </c>
      <c r="G426" s="2">
        <v>0</v>
      </c>
      <c r="H426">
        <f t="shared" si="25"/>
        <v>-0.94750000000000001</v>
      </c>
      <c r="I426">
        <v>41</v>
      </c>
      <c r="J426">
        <f t="shared" si="23"/>
        <v>-38.847500000000004</v>
      </c>
      <c r="K426">
        <f t="shared" si="24"/>
        <v>0</v>
      </c>
    </row>
    <row r="427" spans="2:11" x14ac:dyDescent="0.25">
      <c r="B427" s="4">
        <v>45861</v>
      </c>
      <c r="C427" t="s">
        <v>34</v>
      </c>
      <c r="E427" t="s">
        <v>15</v>
      </c>
      <c r="F427" t="s">
        <v>90</v>
      </c>
      <c r="G427" s="2">
        <v>0</v>
      </c>
      <c r="H427">
        <f t="shared" si="25"/>
        <v>-0.94750000000000001</v>
      </c>
      <c r="I427">
        <v>41</v>
      </c>
      <c r="J427">
        <f t="shared" si="23"/>
        <v>-38.847500000000004</v>
      </c>
      <c r="K427">
        <f t="shared" si="24"/>
        <v>0</v>
      </c>
    </row>
    <row r="428" spans="2:11" x14ac:dyDescent="0.25">
      <c r="B428" s="4">
        <v>45861</v>
      </c>
      <c r="C428" t="s">
        <v>34</v>
      </c>
      <c r="E428" t="s">
        <v>61</v>
      </c>
      <c r="F428" t="s">
        <v>90</v>
      </c>
      <c r="G428" s="2">
        <v>0.01</v>
      </c>
      <c r="H428">
        <f t="shared" si="25"/>
        <v>-0.40081</v>
      </c>
      <c r="I428">
        <v>41</v>
      </c>
      <c r="J428">
        <f t="shared" si="23"/>
        <v>-16.433209999999999</v>
      </c>
      <c r="K428">
        <f t="shared" si="24"/>
        <v>0</v>
      </c>
    </row>
    <row r="429" spans="2:11" x14ac:dyDescent="0.25">
      <c r="B429" s="4">
        <v>45861</v>
      </c>
      <c r="C429" t="s">
        <v>34</v>
      </c>
      <c r="E429" t="s">
        <v>16</v>
      </c>
      <c r="F429" t="s">
        <v>90</v>
      </c>
      <c r="G429" s="2">
        <v>7.0000000000000001E-3</v>
      </c>
      <c r="H429">
        <f t="shared" si="25"/>
        <v>-0.56481700000000001</v>
      </c>
      <c r="I429">
        <v>41</v>
      </c>
      <c r="J429">
        <f t="shared" si="23"/>
        <v>-23.157496999999999</v>
      </c>
      <c r="K429">
        <f t="shared" si="24"/>
        <v>0</v>
      </c>
    </row>
    <row r="430" spans="2:11" x14ac:dyDescent="0.25">
      <c r="B430" s="4">
        <v>45861</v>
      </c>
      <c r="C430" t="s">
        <v>34</v>
      </c>
      <c r="E430" t="s">
        <v>17</v>
      </c>
      <c r="F430" t="s">
        <v>90</v>
      </c>
      <c r="G430" s="2">
        <v>0</v>
      </c>
      <c r="H430">
        <f t="shared" si="25"/>
        <v>-0.94750000000000001</v>
      </c>
      <c r="I430">
        <v>41</v>
      </c>
      <c r="J430">
        <f t="shared" si="23"/>
        <v>-38.847500000000004</v>
      </c>
      <c r="K430">
        <f t="shared" si="24"/>
        <v>0</v>
      </c>
    </row>
    <row r="431" spans="2:11" x14ac:dyDescent="0.25">
      <c r="B431" s="4">
        <v>45861</v>
      </c>
      <c r="C431" t="s">
        <v>34</v>
      </c>
      <c r="E431" t="s">
        <v>12</v>
      </c>
      <c r="F431" t="s">
        <v>90</v>
      </c>
      <c r="G431" s="2">
        <v>0</v>
      </c>
      <c r="H431">
        <f t="shared" si="25"/>
        <v>-0.94750000000000001</v>
      </c>
      <c r="I431">
        <v>41</v>
      </c>
      <c r="J431">
        <f t="shared" si="23"/>
        <v>-38.847500000000004</v>
      </c>
      <c r="K431">
        <f t="shared" si="24"/>
        <v>0</v>
      </c>
    </row>
    <row r="432" spans="2:11" x14ac:dyDescent="0.25">
      <c r="B432" s="4">
        <v>45861</v>
      </c>
      <c r="C432" t="s">
        <v>34</v>
      </c>
      <c r="E432" t="s">
        <v>62</v>
      </c>
      <c r="F432" t="s">
        <v>90</v>
      </c>
      <c r="G432" s="2">
        <v>3.3000000000000002E-2</v>
      </c>
      <c r="H432">
        <f t="shared" si="25"/>
        <v>0.85657699999999992</v>
      </c>
      <c r="I432">
        <v>41</v>
      </c>
      <c r="J432">
        <f t="shared" si="23"/>
        <v>35.119656999999997</v>
      </c>
      <c r="K432">
        <f t="shared" si="24"/>
        <v>35.119656999999997</v>
      </c>
    </row>
    <row r="433" spans="2:11" x14ac:dyDescent="0.25">
      <c r="B433" s="4">
        <v>45861</v>
      </c>
      <c r="C433" t="s">
        <v>34</v>
      </c>
      <c r="E433" t="s">
        <v>18</v>
      </c>
      <c r="F433" t="s">
        <v>90</v>
      </c>
      <c r="G433" s="2">
        <v>4.1000000000000002E-2</v>
      </c>
      <c r="H433">
        <f t="shared" si="25"/>
        <v>1.2939290000000001</v>
      </c>
      <c r="I433">
        <v>41</v>
      </c>
      <c r="J433">
        <f t="shared" si="23"/>
        <v>53.051089000000005</v>
      </c>
      <c r="K433">
        <f t="shared" si="24"/>
        <v>53.051089000000005</v>
      </c>
    </row>
    <row r="434" spans="2:11" x14ac:dyDescent="0.25">
      <c r="B434" s="4">
        <v>45861</v>
      </c>
      <c r="C434" t="s">
        <v>34</v>
      </c>
      <c r="E434" t="s">
        <v>19</v>
      </c>
      <c r="F434" t="s">
        <v>90</v>
      </c>
      <c r="G434" s="2">
        <v>1.7000000000000001E-2</v>
      </c>
      <c r="H434">
        <f t="shared" si="25"/>
        <v>-1.8127000000000004E-2</v>
      </c>
      <c r="I434">
        <v>41</v>
      </c>
      <c r="J434">
        <f t="shared" si="23"/>
        <v>-0.74320700000000017</v>
      </c>
      <c r="K434">
        <f t="shared" si="24"/>
        <v>0</v>
      </c>
    </row>
    <row r="435" spans="2:11" x14ac:dyDescent="0.25">
      <c r="B435" s="4">
        <v>45861</v>
      </c>
      <c r="C435" t="s">
        <v>34</v>
      </c>
      <c r="E435" t="s">
        <v>20</v>
      </c>
      <c r="F435" t="s">
        <v>90</v>
      </c>
      <c r="G435" s="2">
        <v>0</v>
      </c>
      <c r="H435">
        <f t="shared" si="25"/>
        <v>-0.94750000000000001</v>
      </c>
      <c r="I435">
        <v>41</v>
      </c>
      <c r="J435">
        <f t="shared" si="23"/>
        <v>-38.847500000000004</v>
      </c>
      <c r="K435">
        <f t="shared" si="24"/>
        <v>0</v>
      </c>
    </row>
    <row r="436" spans="2:11" x14ac:dyDescent="0.25">
      <c r="B436" s="4">
        <v>45861</v>
      </c>
      <c r="C436" t="s">
        <v>34</v>
      </c>
      <c r="E436" t="s">
        <v>63</v>
      </c>
      <c r="F436" t="s">
        <v>90</v>
      </c>
      <c r="G436" s="2">
        <v>2E-3</v>
      </c>
      <c r="H436">
        <f t="shared" si="25"/>
        <v>-0.83816200000000007</v>
      </c>
      <c r="I436">
        <v>41</v>
      </c>
      <c r="J436">
        <f t="shared" si="23"/>
        <v>-34.364642000000003</v>
      </c>
      <c r="K436">
        <f t="shared" si="24"/>
        <v>0</v>
      </c>
    </row>
    <row r="437" spans="2:11" x14ac:dyDescent="0.25">
      <c r="B437" s="4">
        <v>45861</v>
      </c>
      <c r="C437" t="s">
        <v>34</v>
      </c>
      <c r="E437" t="s">
        <v>21</v>
      </c>
      <c r="F437" t="s">
        <v>90</v>
      </c>
      <c r="G437" s="2">
        <v>1E-3</v>
      </c>
      <c r="H437">
        <f t="shared" si="25"/>
        <v>-0.89283100000000004</v>
      </c>
      <c r="I437">
        <v>41</v>
      </c>
      <c r="J437">
        <f t="shared" si="23"/>
        <v>-36.606071</v>
      </c>
      <c r="K437">
        <f t="shared" si="24"/>
        <v>0</v>
      </c>
    </row>
    <row r="438" spans="2:11" x14ac:dyDescent="0.25">
      <c r="B438" s="4">
        <v>45861</v>
      </c>
      <c r="C438" t="s">
        <v>34</v>
      </c>
      <c r="E438" t="s">
        <v>22</v>
      </c>
      <c r="F438" t="s">
        <v>90</v>
      </c>
      <c r="G438" s="2">
        <v>1E-3</v>
      </c>
      <c r="H438">
        <f t="shared" si="25"/>
        <v>-0.89283100000000004</v>
      </c>
      <c r="I438">
        <v>41</v>
      </c>
      <c r="J438">
        <f t="shared" si="23"/>
        <v>-36.606071</v>
      </c>
      <c r="K438">
        <f t="shared" si="24"/>
        <v>0</v>
      </c>
    </row>
    <row r="439" spans="2:11" x14ac:dyDescent="0.25">
      <c r="B439" s="4">
        <v>45861</v>
      </c>
      <c r="C439" t="s">
        <v>34</v>
      </c>
      <c r="E439" t="s">
        <v>23</v>
      </c>
      <c r="F439" t="s">
        <v>90</v>
      </c>
      <c r="G439" s="2">
        <v>0</v>
      </c>
      <c r="H439">
        <f t="shared" si="25"/>
        <v>-0.94750000000000001</v>
      </c>
      <c r="I439">
        <v>41</v>
      </c>
      <c r="J439">
        <f t="shared" si="23"/>
        <v>-38.847500000000004</v>
      </c>
      <c r="K439">
        <f t="shared" si="24"/>
        <v>0</v>
      </c>
    </row>
    <row r="440" spans="2:11" x14ac:dyDescent="0.25">
      <c r="B440" s="4">
        <v>45861</v>
      </c>
      <c r="C440" t="s">
        <v>34</v>
      </c>
      <c r="E440" t="s">
        <v>64</v>
      </c>
      <c r="F440" t="s">
        <v>90</v>
      </c>
      <c r="G440" s="2">
        <v>1.0999999999999999E-2</v>
      </c>
      <c r="H440">
        <f t="shared" si="25"/>
        <v>-0.34614100000000003</v>
      </c>
      <c r="I440">
        <v>41</v>
      </c>
      <c r="J440">
        <f t="shared" si="23"/>
        <v>-14.191781000000001</v>
      </c>
      <c r="K440">
        <f t="shared" si="24"/>
        <v>0</v>
      </c>
    </row>
    <row r="441" spans="2:11" x14ac:dyDescent="0.25">
      <c r="B441" s="4">
        <v>45861</v>
      </c>
      <c r="C441" t="s">
        <v>34</v>
      </c>
      <c r="E441" t="s">
        <v>24</v>
      </c>
      <c r="F441" t="s">
        <v>90</v>
      </c>
      <c r="G441" s="2">
        <v>0</v>
      </c>
      <c r="H441">
        <f t="shared" si="25"/>
        <v>-0.94750000000000001</v>
      </c>
      <c r="I441">
        <v>41</v>
      </c>
      <c r="J441">
        <f t="shared" si="23"/>
        <v>-38.847500000000004</v>
      </c>
      <c r="K441">
        <f t="shared" si="24"/>
        <v>0</v>
      </c>
    </row>
    <row r="442" spans="2:11" x14ac:dyDescent="0.25">
      <c r="B442" s="4">
        <v>45861</v>
      </c>
      <c r="C442" t="s">
        <v>34</v>
      </c>
      <c r="E442" t="s">
        <v>25</v>
      </c>
      <c r="F442" t="s">
        <v>90</v>
      </c>
      <c r="G442" s="2">
        <v>0</v>
      </c>
      <c r="H442">
        <f t="shared" si="25"/>
        <v>-0.94750000000000001</v>
      </c>
      <c r="I442">
        <v>41</v>
      </c>
      <c r="J442">
        <f t="shared" si="23"/>
        <v>-38.847500000000004</v>
      </c>
      <c r="K442">
        <f t="shared" si="24"/>
        <v>0</v>
      </c>
    </row>
    <row r="443" spans="2:11" x14ac:dyDescent="0.25">
      <c r="B443" s="4">
        <v>45861</v>
      </c>
      <c r="C443" t="s">
        <v>34</v>
      </c>
      <c r="E443" t="s">
        <v>26</v>
      </c>
      <c r="F443" t="s">
        <v>90</v>
      </c>
      <c r="G443" s="2">
        <v>0</v>
      </c>
      <c r="H443">
        <f t="shared" si="25"/>
        <v>-0.94750000000000001</v>
      </c>
      <c r="I443">
        <v>41</v>
      </c>
      <c r="J443">
        <f t="shared" si="23"/>
        <v>-38.847500000000004</v>
      </c>
      <c r="K443">
        <f t="shared" si="24"/>
        <v>0</v>
      </c>
    </row>
    <row r="444" spans="2:11" x14ac:dyDescent="0.25">
      <c r="B444" s="4">
        <v>45861</v>
      </c>
      <c r="C444" t="s">
        <v>34</v>
      </c>
      <c r="E444" t="s">
        <v>65</v>
      </c>
      <c r="F444" t="s">
        <v>90</v>
      </c>
      <c r="G444" s="2">
        <v>0</v>
      </c>
      <c r="H444">
        <f t="shared" si="25"/>
        <v>-0.94750000000000001</v>
      </c>
      <c r="I444">
        <v>41</v>
      </c>
      <c r="J444">
        <f t="shared" si="23"/>
        <v>-38.847500000000004</v>
      </c>
      <c r="K444">
        <f t="shared" si="24"/>
        <v>0</v>
      </c>
    </row>
    <row r="445" spans="2:11" x14ac:dyDescent="0.25">
      <c r="B445" s="4">
        <v>45861</v>
      </c>
      <c r="C445" t="s">
        <v>34</v>
      </c>
      <c r="E445" t="s">
        <v>27</v>
      </c>
      <c r="F445" t="s">
        <v>90</v>
      </c>
      <c r="G445" s="2">
        <v>0</v>
      </c>
      <c r="H445">
        <f t="shared" si="25"/>
        <v>-0.94750000000000001</v>
      </c>
      <c r="I445">
        <v>41</v>
      </c>
      <c r="J445">
        <f t="shared" si="23"/>
        <v>-38.847500000000004</v>
      </c>
      <c r="K445">
        <f t="shared" si="24"/>
        <v>0</v>
      </c>
    </row>
    <row r="446" spans="2:11" x14ac:dyDescent="0.25">
      <c r="B446" s="4">
        <v>45861</v>
      </c>
      <c r="C446" t="s">
        <v>34</v>
      </c>
      <c r="E446" t="s">
        <v>28</v>
      </c>
      <c r="F446" t="s">
        <v>90</v>
      </c>
      <c r="G446" s="2">
        <v>0</v>
      </c>
      <c r="H446">
        <f t="shared" si="25"/>
        <v>-0.94750000000000001</v>
      </c>
      <c r="I446">
        <v>41</v>
      </c>
      <c r="J446">
        <f t="shared" si="23"/>
        <v>-38.847500000000004</v>
      </c>
      <c r="K446">
        <f t="shared" si="24"/>
        <v>0</v>
      </c>
    </row>
    <row r="447" spans="2:11" x14ac:dyDescent="0.25">
      <c r="B447" s="4">
        <v>45861</v>
      </c>
      <c r="C447" t="s">
        <v>34</v>
      </c>
      <c r="D447" t="s">
        <v>67</v>
      </c>
      <c r="E447">
        <v>1</v>
      </c>
      <c r="F447" t="s">
        <v>90</v>
      </c>
      <c r="G447" s="2">
        <v>4.0000000000000001E-3</v>
      </c>
      <c r="H447">
        <f t="shared" si="25"/>
        <v>-0.72882400000000003</v>
      </c>
      <c r="I447">
        <v>1</v>
      </c>
      <c r="J447">
        <f t="shared" si="23"/>
        <v>-0.72882400000000003</v>
      </c>
      <c r="K447">
        <f t="shared" si="24"/>
        <v>0</v>
      </c>
    </row>
    <row r="448" spans="2:11" x14ac:dyDescent="0.25">
      <c r="B448" s="4">
        <v>45861</v>
      </c>
      <c r="C448" t="s">
        <v>34</v>
      </c>
      <c r="D448" t="s">
        <v>67</v>
      </c>
      <c r="E448">
        <v>2</v>
      </c>
      <c r="F448" t="s">
        <v>90</v>
      </c>
      <c r="G448" s="2">
        <v>5.2999999999999999E-2</v>
      </c>
      <c r="H448">
        <f t="shared" si="25"/>
        <v>1.9499569999999997</v>
      </c>
      <c r="I448">
        <v>1</v>
      </c>
      <c r="J448">
        <f t="shared" si="23"/>
        <v>1.9499569999999997</v>
      </c>
      <c r="K448">
        <f t="shared" si="24"/>
        <v>1.9499569999999997</v>
      </c>
    </row>
    <row r="449" spans="2:11" x14ac:dyDescent="0.25">
      <c r="B449" s="4">
        <v>45861</v>
      </c>
      <c r="C449" t="s">
        <v>34</v>
      </c>
      <c r="D449" t="s">
        <v>67</v>
      </c>
      <c r="E449">
        <v>3</v>
      </c>
      <c r="F449" t="s">
        <v>90</v>
      </c>
      <c r="G449" s="2">
        <v>1.7000000000000001E-2</v>
      </c>
      <c r="H449">
        <f t="shared" si="25"/>
        <v>-1.8127000000000004E-2</v>
      </c>
      <c r="I449">
        <v>1</v>
      </c>
      <c r="J449">
        <f t="shared" si="23"/>
        <v>-1.8127000000000004E-2</v>
      </c>
      <c r="K449">
        <f t="shared" si="24"/>
        <v>0</v>
      </c>
    </row>
    <row r="450" spans="2:11" x14ac:dyDescent="0.25">
      <c r="B450" s="4">
        <v>45862</v>
      </c>
      <c r="C450" t="s">
        <v>70</v>
      </c>
      <c r="E450" t="s">
        <v>13</v>
      </c>
      <c r="F450" t="s">
        <v>90</v>
      </c>
      <c r="G450" s="2">
        <v>0</v>
      </c>
      <c r="H450">
        <f t="shared" si="25"/>
        <v>-0.94750000000000001</v>
      </c>
      <c r="I450">
        <v>41</v>
      </c>
      <c r="J450">
        <f t="shared" si="23"/>
        <v>-38.847500000000004</v>
      </c>
      <c r="K450">
        <f t="shared" si="24"/>
        <v>0</v>
      </c>
    </row>
    <row r="451" spans="2:11" x14ac:dyDescent="0.25">
      <c r="B451" s="4">
        <v>45862</v>
      </c>
      <c r="C451" t="s">
        <v>70</v>
      </c>
      <c r="E451" t="s">
        <v>14</v>
      </c>
      <c r="F451" t="s">
        <v>90</v>
      </c>
      <c r="G451" s="2">
        <v>0</v>
      </c>
      <c r="H451">
        <f t="shared" si="25"/>
        <v>-0.94750000000000001</v>
      </c>
      <c r="I451">
        <v>41</v>
      </c>
      <c r="J451">
        <f t="shared" si="23"/>
        <v>-38.847500000000004</v>
      </c>
      <c r="K451">
        <f t="shared" si="24"/>
        <v>0</v>
      </c>
    </row>
    <row r="452" spans="2:11" x14ac:dyDescent="0.25">
      <c r="B452" s="4">
        <v>45862</v>
      </c>
      <c r="C452" t="s">
        <v>70</v>
      </c>
      <c r="E452" t="s">
        <v>15</v>
      </c>
      <c r="F452" t="s">
        <v>90</v>
      </c>
      <c r="G452" s="2">
        <v>2E-3</v>
      </c>
      <c r="H452">
        <f t="shared" si="25"/>
        <v>-0.83816200000000007</v>
      </c>
      <c r="I452">
        <v>41</v>
      </c>
      <c r="J452">
        <f t="shared" si="23"/>
        <v>-34.364642000000003</v>
      </c>
      <c r="K452">
        <f t="shared" si="24"/>
        <v>0</v>
      </c>
    </row>
    <row r="453" spans="2:11" x14ac:dyDescent="0.25">
      <c r="B453" s="4">
        <v>45862</v>
      </c>
      <c r="C453" t="s">
        <v>70</v>
      </c>
      <c r="E453" t="s">
        <v>61</v>
      </c>
      <c r="F453" t="s">
        <v>90</v>
      </c>
      <c r="G453" s="2">
        <v>0</v>
      </c>
      <c r="H453">
        <f t="shared" si="25"/>
        <v>-0.94750000000000001</v>
      </c>
      <c r="I453">
        <v>41</v>
      </c>
      <c r="J453">
        <f t="shared" si="23"/>
        <v>-38.847500000000004</v>
      </c>
      <c r="K453">
        <f t="shared" si="24"/>
        <v>0</v>
      </c>
    </row>
    <row r="454" spans="2:11" x14ac:dyDescent="0.25">
      <c r="B454" s="4">
        <v>45862</v>
      </c>
      <c r="C454" t="s">
        <v>70</v>
      </c>
      <c r="E454" t="s">
        <v>16</v>
      </c>
      <c r="F454" t="s">
        <v>90</v>
      </c>
      <c r="G454" s="2">
        <v>0</v>
      </c>
      <c r="H454">
        <f t="shared" si="25"/>
        <v>-0.94750000000000001</v>
      </c>
      <c r="I454">
        <v>41</v>
      </c>
      <c r="J454">
        <f t="shared" si="23"/>
        <v>-38.847500000000004</v>
      </c>
      <c r="K454">
        <f t="shared" si="24"/>
        <v>0</v>
      </c>
    </row>
    <row r="455" spans="2:11" x14ac:dyDescent="0.25">
      <c r="B455" s="4">
        <v>45862</v>
      </c>
      <c r="C455" t="s">
        <v>70</v>
      </c>
      <c r="E455" t="s">
        <v>17</v>
      </c>
      <c r="F455" t="s">
        <v>90</v>
      </c>
      <c r="G455" s="2">
        <v>0</v>
      </c>
      <c r="H455">
        <f t="shared" si="25"/>
        <v>-0.94750000000000001</v>
      </c>
      <c r="I455">
        <v>41</v>
      </c>
      <c r="J455">
        <f t="shared" si="23"/>
        <v>-38.847500000000004</v>
      </c>
      <c r="K455">
        <f t="shared" si="24"/>
        <v>0</v>
      </c>
    </row>
    <row r="456" spans="2:11" x14ac:dyDescent="0.25">
      <c r="B456" s="4">
        <v>45862</v>
      </c>
      <c r="C456" t="s">
        <v>70</v>
      </c>
      <c r="E456" t="s">
        <v>12</v>
      </c>
      <c r="F456" t="s">
        <v>90</v>
      </c>
      <c r="G456" s="2">
        <v>0</v>
      </c>
      <c r="H456">
        <f t="shared" si="25"/>
        <v>-0.94750000000000001</v>
      </c>
      <c r="I456">
        <v>41</v>
      </c>
      <c r="J456">
        <f t="shared" si="23"/>
        <v>-38.847500000000004</v>
      </c>
      <c r="K456">
        <f t="shared" si="24"/>
        <v>0</v>
      </c>
    </row>
    <row r="457" spans="2:11" x14ac:dyDescent="0.25">
      <c r="B457" s="4">
        <v>45862</v>
      </c>
      <c r="C457" t="s">
        <v>70</v>
      </c>
      <c r="E457" t="s">
        <v>62</v>
      </c>
      <c r="F457" t="s">
        <v>90</v>
      </c>
      <c r="G457" s="2">
        <v>0</v>
      </c>
      <c r="H457">
        <f t="shared" si="25"/>
        <v>-0.94750000000000001</v>
      </c>
      <c r="I457">
        <v>41</v>
      </c>
      <c r="J457">
        <f t="shared" si="23"/>
        <v>-38.847500000000004</v>
      </c>
      <c r="K457">
        <f t="shared" si="24"/>
        <v>0</v>
      </c>
    </row>
    <row r="458" spans="2:11" x14ac:dyDescent="0.25">
      <c r="B458" s="4">
        <v>45862</v>
      </c>
      <c r="C458" t="s">
        <v>70</v>
      </c>
      <c r="E458" t="s">
        <v>18</v>
      </c>
      <c r="F458" t="s">
        <v>90</v>
      </c>
      <c r="G458" s="2">
        <v>0</v>
      </c>
      <c r="H458">
        <f t="shared" si="25"/>
        <v>-0.94750000000000001</v>
      </c>
      <c r="I458">
        <v>41</v>
      </c>
      <c r="J458">
        <f t="shared" si="23"/>
        <v>-38.847500000000004</v>
      </c>
      <c r="K458">
        <f t="shared" si="24"/>
        <v>0</v>
      </c>
    </row>
    <row r="459" spans="2:11" x14ac:dyDescent="0.25">
      <c r="B459" s="4">
        <v>45862</v>
      </c>
      <c r="C459" t="s">
        <v>70</v>
      </c>
      <c r="E459" t="s">
        <v>19</v>
      </c>
      <c r="F459" t="s">
        <v>90</v>
      </c>
      <c r="G459" s="2">
        <v>0</v>
      </c>
      <c r="H459">
        <f t="shared" si="25"/>
        <v>-0.94750000000000001</v>
      </c>
      <c r="I459">
        <v>41</v>
      </c>
      <c r="J459">
        <f t="shared" si="23"/>
        <v>-38.847500000000004</v>
      </c>
      <c r="K459">
        <f t="shared" si="24"/>
        <v>0</v>
      </c>
    </row>
    <row r="460" spans="2:11" x14ac:dyDescent="0.25">
      <c r="B460" s="4">
        <v>45862</v>
      </c>
      <c r="C460" t="s">
        <v>70</v>
      </c>
      <c r="E460" t="s">
        <v>20</v>
      </c>
      <c r="F460" t="s">
        <v>90</v>
      </c>
      <c r="G460" s="2">
        <v>1.0999999999999999E-2</v>
      </c>
      <c r="H460">
        <f t="shared" si="25"/>
        <v>-0.34614100000000003</v>
      </c>
      <c r="I460">
        <v>41</v>
      </c>
      <c r="J460">
        <f t="shared" si="23"/>
        <v>-14.191781000000001</v>
      </c>
      <c r="K460">
        <f t="shared" si="24"/>
        <v>0</v>
      </c>
    </row>
    <row r="461" spans="2:11" x14ac:dyDescent="0.25">
      <c r="B461" s="4">
        <v>45862</v>
      </c>
      <c r="C461" t="s">
        <v>70</v>
      </c>
      <c r="E461" t="s">
        <v>63</v>
      </c>
      <c r="F461" t="s">
        <v>90</v>
      </c>
      <c r="G461" s="2">
        <v>0</v>
      </c>
      <c r="H461">
        <f t="shared" si="25"/>
        <v>-0.94750000000000001</v>
      </c>
      <c r="I461">
        <v>41</v>
      </c>
      <c r="J461">
        <f t="shared" si="23"/>
        <v>-38.847500000000004</v>
      </c>
      <c r="K461">
        <f t="shared" si="24"/>
        <v>0</v>
      </c>
    </row>
    <row r="462" spans="2:11" x14ac:dyDescent="0.25">
      <c r="B462" s="4">
        <v>45862</v>
      </c>
      <c r="C462" t="s">
        <v>70</v>
      </c>
      <c r="E462" t="s">
        <v>21</v>
      </c>
      <c r="F462" t="s">
        <v>90</v>
      </c>
      <c r="G462" s="2">
        <v>0</v>
      </c>
      <c r="H462">
        <f t="shared" si="25"/>
        <v>-0.94750000000000001</v>
      </c>
      <c r="I462">
        <v>41</v>
      </c>
      <c r="J462">
        <f t="shared" si="23"/>
        <v>-38.847500000000004</v>
      </c>
      <c r="K462">
        <f t="shared" si="24"/>
        <v>0</v>
      </c>
    </row>
    <row r="463" spans="2:11" x14ac:dyDescent="0.25">
      <c r="B463" s="4">
        <v>45862</v>
      </c>
      <c r="C463" t="s">
        <v>70</v>
      </c>
      <c r="E463" t="s">
        <v>22</v>
      </c>
      <c r="F463" t="s">
        <v>90</v>
      </c>
      <c r="G463" s="2">
        <v>0</v>
      </c>
      <c r="H463">
        <f t="shared" si="25"/>
        <v>-0.94750000000000001</v>
      </c>
      <c r="I463">
        <v>41</v>
      </c>
      <c r="J463">
        <f t="shared" si="23"/>
        <v>-38.847500000000004</v>
      </c>
      <c r="K463">
        <f t="shared" si="24"/>
        <v>0</v>
      </c>
    </row>
    <row r="464" spans="2:11" x14ac:dyDescent="0.25">
      <c r="B464" s="4">
        <v>45862</v>
      </c>
      <c r="C464" t="s">
        <v>70</v>
      </c>
      <c r="E464" t="s">
        <v>23</v>
      </c>
      <c r="F464" t="s">
        <v>90</v>
      </c>
      <c r="G464" s="2">
        <v>0</v>
      </c>
      <c r="H464">
        <f t="shared" si="25"/>
        <v>-0.94750000000000001</v>
      </c>
      <c r="I464">
        <v>41</v>
      </c>
      <c r="J464">
        <f t="shared" si="23"/>
        <v>-38.847500000000004</v>
      </c>
      <c r="K464">
        <f t="shared" si="24"/>
        <v>0</v>
      </c>
    </row>
    <row r="465" spans="2:11" x14ac:dyDescent="0.25">
      <c r="B465" s="4">
        <v>45862</v>
      </c>
      <c r="C465" t="s">
        <v>70</v>
      </c>
      <c r="E465" t="s">
        <v>64</v>
      </c>
      <c r="F465" t="s">
        <v>90</v>
      </c>
      <c r="G465" s="2">
        <v>0</v>
      </c>
      <c r="H465">
        <f t="shared" si="25"/>
        <v>-0.94750000000000001</v>
      </c>
      <c r="I465">
        <v>41</v>
      </c>
      <c r="J465">
        <f t="shared" si="23"/>
        <v>-38.847500000000004</v>
      </c>
      <c r="K465">
        <f t="shared" si="24"/>
        <v>0</v>
      </c>
    </row>
    <row r="466" spans="2:11" x14ac:dyDescent="0.25">
      <c r="B466" s="4">
        <v>45862</v>
      </c>
      <c r="C466" t="s">
        <v>70</v>
      </c>
      <c r="E466" t="s">
        <v>24</v>
      </c>
      <c r="F466" t="s">
        <v>90</v>
      </c>
      <c r="G466" s="2">
        <v>0</v>
      </c>
      <c r="H466">
        <f t="shared" si="25"/>
        <v>-0.94750000000000001</v>
      </c>
      <c r="I466">
        <v>41</v>
      </c>
      <c r="J466">
        <f t="shared" si="23"/>
        <v>-38.847500000000004</v>
      </c>
      <c r="K466">
        <f t="shared" si="24"/>
        <v>0</v>
      </c>
    </row>
    <row r="467" spans="2:11" x14ac:dyDescent="0.25">
      <c r="B467" s="4">
        <v>45862</v>
      </c>
      <c r="C467" t="s">
        <v>70</v>
      </c>
      <c r="E467" t="s">
        <v>25</v>
      </c>
      <c r="F467" t="s">
        <v>90</v>
      </c>
      <c r="G467" s="2">
        <v>0</v>
      </c>
      <c r="H467">
        <f t="shared" si="25"/>
        <v>-0.94750000000000001</v>
      </c>
      <c r="I467">
        <v>41</v>
      </c>
      <c r="J467">
        <f t="shared" si="23"/>
        <v>-38.847500000000004</v>
      </c>
      <c r="K467">
        <f t="shared" si="24"/>
        <v>0</v>
      </c>
    </row>
    <row r="468" spans="2:11" x14ac:dyDescent="0.25">
      <c r="B468" s="4">
        <v>45862</v>
      </c>
      <c r="C468" t="s">
        <v>70</v>
      </c>
      <c r="E468" t="s">
        <v>26</v>
      </c>
      <c r="F468" t="s">
        <v>90</v>
      </c>
      <c r="G468" s="2">
        <v>0</v>
      </c>
      <c r="H468">
        <f t="shared" si="25"/>
        <v>-0.94750000000000001</v>
      </c>
      <c r="I468">
        <v>41</v>
      </c>
      <c r="J468">
        <f t="shared" si="23"/>
        <v>-38.847500000000004</v>
      </c>
      <c r="K468">
        <f t="shared" si="24"/>
        <v>0</v>
      </c>
    </row>
    <row r="469" spans="2:11" x14ac:dyDescent="0.25">
      <c r="B469" s="4">
        <v>45862</v>
      </c>
      <c r="C469" t="s">
        <v>70</v>
      </c>
      <c r="E469" t="s">
        <v>65</v>
      </c>
      <c r="F469" t="s">
        <v>90</v>
      </c>
      <c r="G469" s="2">
        <v>0</v>
      </c>
      <c r="H469">
        <f t="shared" si="25"/>
        <v>-0.94750000000000001</v>
      </c>
      <c r="I469">
        <v>41</v>
      </c>
      <c r="J469">
        <f t="shared" si="23"/>
        <v>-38.847500000000004</v>
      </c>
      <c r="K469">
        <f t="shared" si="24"/>
        <v>0</v>
      </c>
    </row>
    <row r="470" spans="2:11" x14ac:dyDescent="0.25">
      <c r="B470" s="4">
        <v>45862</v>
      </c>
      <c r="C470" t="s">
        <v>70</v>
      </c>
      <c r="E470" t="s">
        <v>27</v>
      </c>
      <c r="F470" t="s">
        <v>90</v>
      </c>
      <c r="G470" s="2">
        <v>0</v>
      </c>
      <c r="H470">
        <f t="shared" si="25"/>
        <v>-0.94750000000000001</v>
      </c>
      <c r="I470">
        <v>41</v>
      </c>
      <c r="J470">
        <f t="shared" si="23"/>
        <v>-38.847500000000004</v>
      </c>
      <c r="K470">
        <f t="shared" si="24"/>
        <v>0</v>
      </c>
    </row>
    <row r="471" spans="2:11" x14ac:dyDescent="0.25">
      <c r="B471" s="4">
        <v>45862</v>
      </c>
      <c r="C471" t="s">
        <v>70</v>
      </c>
      <c r="E471" t="s">
        <v>28</v>
      </c>
      <c r="F471" t="s">
        <v>90</v>
      </c>
      <c r="G471" s="2">
        <v>0</v>
      </c>
      <c r="H471">
        <f t="shared" si="25"/>
        <v>-0.94750000000000001</v>
      </c>
      <c r="I471">
        <v>41</v>
      </c>
      <c r="J471">
        <f t="shared" si="23"/>
        <v>-38.847500000000004</v>
      </c>
      <c r="K471">
        <f t="shared" si="24"/>
        <v>0</v>
      </c>
    </row>
    <row r="472" spans="2:11" x14ac:dyDescent="0.25">
      <c r="B472" s="4">
        <v>45862</v>
      </c>
      <c r="C472" t="s">
        <v>70</v>
      </c>
      <c r="E472" t="s">
        <v>29</v>
      </c>
      <c r="F472" t="s">
        <v>90</v>
      </c>
      <c r="G472" s="2">
        <v>0</v>
      </c>
      <c r="H472">
        <f t="shared" si="25"/>
        <v>-0.94750000000000001</v>
      </c>
      <c r="I472">
        <v>41</v>
      </c>
      <c r="J472">
        <f t="shared" si="23"/>
        <v>-38.847500000000004</v>
      </c>
      <c r="K472">
        <f t="shared" si="24"/>
        <v>0</v>
      </c>
    </row>
    <row r="473" spans="2:11" x14ac:dyDescent="0.25">
      <c r="B473" s="4">
        <v>45862</v>
      </c>
      <c r="C473" t="s">
        <v>70</v>
      </c>
      <c r="E473" t="s">
        <v>66</v>
      </c>
      <c r="F473" t="s">
        <v>90</v>
      </c>
      <c r="G473" s="2">
        <v>4.0000000000000001E-3</v>
      </c>
      <c r="H473">
        <f t="shared" si="25"/>
        <v>-0.72882400000000003</v>
      </c>
      <c r="I473">
        <v>41</v>
      </c>
      <c r="J473">
        <f t="shared" si="23"/>
        <v>-29.881784</v>
      </c>
      <c r="K473">
        <f t="shared" si="24"/>
        <v>0</v>
      </c>
    </row>
    <row r="474" spans="2:11" x14ac:dyDescent="0.25">
      <c r="B474" s="4">
        <v>45862</v>
      </c>
      <c r="C474" t="s">
        <v>70</v>
      </c>
      <c r="D474" t="s">
        <v>67</v>
      </c>
      <c r="E474">
        <v>1</v>
      </c>
      <c r="F474" t="s">
        <v>90</v>
      </c>
      <c r="G474" s="2">
        <v>0</v>
      </c>
      <c r="H474">
        <f t="shared" si="25"/>
        <v>-0.94750000000000001</v>
      </c>
      <c r="I474">
        <v>1</v>
      </c>
      <c r="J474">
        <f t="shared" si="23"/>
        <v>-0.94750000000000001</v>
      </c>
      <c r="K474">
        <f t="shared" si="24"/>
        <v>0</v>
      </c>
    </row>
    <row r="475" spans="2:11" x14ac:dyDescent="0.25">
      <c r="B475" s="4">
        <v>45862</v>
      </c>
      <c r="C475" t="s">
        <v>70</v>
      </c>
      <c r="D475" t="s">
        <v>67</v>
      </c>
      <c r="E475">
        <v>2</v>
      </c>
      <c r="F475" t="s">
        <v>90</v>
      </c>
      <c r="G475" s="2">
        <v>3.0000000000000001E-3</v>
      </c>
      <c r="H475">
        <f t="shared" si="25"/>
        <v>-0.78349299999999999</v>
      </c>
      <c r="I475">
        <v>1</v>
      </c>
      <c r="J475">
        <f t="shared" ref="J475:J538" si="26">H475*I475</f>
        <v>-0.78349299999999999</v>
      </c>
      <c r="K475">
        <f t="shared" ref="K475:K538" si="27">MAX(J475,0)</f>
        <v>0</v>
      </c>
    </row>
    <row r="476" spans="2:11" x14ac:dyDescent="0.25">
      <c r="B476" s="4">
        <v>45862</v>
      </c>
      <c r="C476" t="s">
        <v>70</v>
      </c>
      <c r="D476" t="s">
        <v>67</v>
      </c>
      <c r="E476">
        <v>3</v>
      </c>
      <c r="F476" t="s">
        <v>90</v>
      </c>
      <c r="G476" s="2">
        <v>1E-3</v>
      </c>
      <c r="H476">
        <f t="shared" ref="H476:H539" si="28">(54.669*G476)-0.9475</f>
        <v>-0.89283100000000004</v>
      </c>
      <c r="I476">
        <v>1</v>
      </c>
      <c r="J476">
        <f t="shared" si="26"/>
        <v>-0.89283100000000004</v>
      </c>
      <c r="K476">
        <f t="shared" si="27"/>
        <v>0</v>
      </c>
    </row>
    <row r="477" spans="2:11" x14ac:dyDescent="0.25">
      <c r="B477" s="4">
        <v>45862</v>
      </c>
      <c r="C477" t="s">
        <v>71</v>
      </c>
      <c r="E477" t="s">
        <v>13</v>
      </c>
      <c r="F477" t="s">
        <v>90</v>
      </c>
      <c r="G477" s="2">
        <v>0</v>
      </c>
      <c r="H477">
        <f t="shared" si="28"/>
        <v>-0.94750000000000001</v>
      </c>
      <c r="I477">
        <v>41</v>
      </c>
      <c r="J477">
        <f t="shared" si="26"/>
        <v>-38.847500000000004</v>
      </c>
      <c r="K477">
        <f t="shared" si="27"/>
        <v>0</v>
      </c>
    </row>
    <row r="478" spans="2:11" x14ac:dyDescent="0.25">
      <c r="B478" s="4">
        <v>45862</v>
      </c>
      <c r="C478" t="s">
        <v>71</v>
      </c>
      <c r="E478" t="s">
        <v>14</v>
      </c>
      <c r="F478" t="s">
        <v>90</v>
      </c>
      <c r="G478" s="2">
        <v>0</v>
      </c>
      <c r="H478">
        <f t="shared" si="28"/>
        <v>-0.94750000000000001</v>
      </c>
      <c r="I478">
        <v>41</v>
      </c>
      <c r="J478">
        <f t="shared" si="26"/>
        <v>-38.847500000000004</v>
      </c>
      <c r="K478">
        <f t="shared" si="27"/>
        <v>0</v>
      </c>
    </row>
    <row r="479" spans="2:11" x14ac:dyDescent="0.25">
      <c r="B479" s="4">
        <v>45862</v>
      </c>
      <c r="C479" t="s">
        <v>71</v>
      </c>
      <c r="E479" t="s">
        <v>15</v>
      </c>
      <c r="F479" t="s">
        <v>90</v>
      </c>
      <c r="G479" s="2">
        <v>0</v>
      </c>
      <c r="H479">
        <f t="shared" si="28"/>
        <v>-0.94750000000000001</v>
      </c>
      <c r="I479">
        <v>41</v>
      </c>
      <c r="J479">
        <f t="shared" si="26"/>
        <v>-38.847500000000004</v>
      </c>
      <c r="K479">
        <f t="shared" si="27"/>
        <v>0</v>
      </c>
    </row>
    <row r="480" spans="2:11" x14ac:dyDescent="0.25">
      <c r="B480" s="4">
        <v>45862</v>
      </c>
      <c r="C480" t="s">
        <v>71</v>
      </c>
      <c r="E480" t="s">
        <v>61</v>
      </c>
      <c r="F480" t="s">
        <v>90</v>
      </c>
      <c r="G480" s="2">
        <v>0</v>
      </c>
      <c r="H480">
        <f t="shared" si="28"/>
        <v>-0.94750000000000001</v>
      </c>
      <c r="I480">
        <v>41</v>
      </c>
      <c r="J480">
        <f t="shared" si="26"/>
        <v>-38.847500000000004</v>
      </c>
      <c r="K480">
        <f t="shared" si="27"/>
        <v>0</v>
      </c>
    </row>
    <row r="481" spans="2:11" x14ac:dyDescent="0.25">
      <c r="B481" s="4">
        <v>45862</v>
      </c>
      <c r="C481" t="s">
        <v>71</v>
      </c>
      <c r="E481" t="s">
        <v>16</v>
      </c>
      <c r="F481" t="s">
        <v>90</v>
      </c>
      <c r="G481" s="2">
        <v>0</v>
      </c>
      <c r="H481">
        <f t="shared" si="28"/>
        <v>-0.94750000000000001</v>
      </c>
      <c r="I481">
        <v>41</v>
      </c>
      <c r="J481">
        <f t="shared" si="26"/>
        <v>-38.847500000000004</v>
      </c>
      <c r="K481">
        <f t="shared" si="27"/>
        <v>0</v>
      </c>
    </row>
    <row r="482" spans="2:11" x14ac:dyDescent="0.25">
      <c r="B482" s="4">
        <v>45862</v>
      </c>
      <c r="C482" t="s">
        <v>71</v>
      </c>
      <c r="E482" t="s">
        <v>17</v>
      </c>
      <c r="F482" t="s">
        <v>90</v>
      </c>
      <c r="G482" s="2">
        <v>0</v>
      </c>
      <c r="H482">
        <f t="shared" si="28"/>
        <v>-0.94750000000000001</v>
      </c>
      <c r="I482">
        <v>41</v>
      </c>
      <c r="J482">
        <f t="shared" si="26"/>
        <v>-38.847500000000004</v>
      </c>
      <c r="K482">
        <f t="shared" si="27"/>
        <v>0</v>
      </c>
    </row>
    <row r="483" spans="2:11" x14ac:dyDescent="0.25">
      <c r="B483" s="4">
        <v>45862</v>
      </c>
      <c r="C483" t="s">
        <v>71</v>
      </c>
      <c r="E483" t="s">
        <v>12</v>
      </c>
      <c r="F483" t="s">
        <v>90</v>
      </c>
      <c r="G483" s="2">
        <v>0</v>
      </c>
      <c r="H483">
        <f t="shared" si="28"/>
        <v>-0.94750000000000001</v>
      </c>
      <c r="I483">
        <v>41</v>
      </c>
      <c r="J483">
        <f t="shared" si="26"/>
        <v>-38.847500000000004</v>
      </c>
      <c r="K483">
        <f t="shared" si="27"/>
        <v>0</v>
      </c>
    </row>
    <row r="484" spans="2:11" x14ac:dyDescent="0.25">
      <c r="B484" s="4">
        <v>45862</v>
      </c>
      <c r="C484" t="s">
        <v>71</v>
      </c>
      <c r="E484" t="s">
        <v>62</v>
      </c>
      <c r="F484" t="s">
        <v>90</v>
      </c>
      <c r="G484" s="2">
        <v>0</v>
      </c>
      <c r="H484">
        <f t="shared" si="28"/>
        <v>-0.94750000000000001</v>
      </c>
      <c r="I484">
        <v>41</v>
      </c>
      <c r="J484">
        <f t="shared" si="26"/>
        <v>-38.847500000000004</v>
      </c>
      <c r="K484">
        <f t="shared" si="27"/>
        <v>0</v>
      </c>
    </row>
    <row r="485" spans="2:11" x14ac:dyDescent="0.25">
      <c r="B485" s="4">
        <v>45862</v>
      </c>
      <c r="C485" t="s">
        <v>71</v>
      </c>
      <c r="E485" t="s">
        <v>18</v>
      </c>
      <c r="F485" t="s">
        <v>90</v>
      </c>
      <c r="G485" s="2">
        <v>0</v>
      </c>
      <c r="H485">
        <f t="shared" si="28"/>
        <v>-0.94750000000000001</v>
      </c>
      <c r="I485">
        <v>41</v>
      </c>
      <c r="J485">
        <f t="shared" si="26"/>
        <v>-38.847500000000004</v>
      </c>
      <c r="K485">
        <f t="shared" si="27"/>
        <v>0</v>
      </c>
    </row>
    <row r="486" spans="2:11" x14ac:dyDescent="0.25">
      <c r="B486" s="4">
        <v>45862</v>
      </c>
      <c r="C486" t="s">
        <v>71</v>
      </c>
      <c r="E486" t="s">
        <v>19</v>
      </c>
      <c r="F486" t="s">
        <v>90</v>
      </c>
      <c r="G486" s="2">
        <v>0</v>
      </c>
      <c r="H486">
        <f t="shared" si="28"/>
        <v>-0.94750000000000001</v>
      </c>
      <c r="I486">
        <v>41</v>
      </c>
      <c r="J486">
        <f t="shared" si="26"/>
        <v>-38.847500000000004</v>
      </c>
      <c r="K486">
        <f t="shared" si="27"/>
        <v>0</v>
      </c>
    </row>
    <row r="487" spans="2:11" x14ac:dyDescent="0.25">
      <c r="B487" s="4">
        <v>45862</v>
      </c>
      <c r="C487" t="s">
        <v>71</v>
      </c>
      <c r="E487" t="s">
        <v>20</v>
      </c>
      <c r="F487" t="s">
        <v>90</v>
      </c>
      <c r="G487" s="2">
        <v>0</v>
      </c>
      <c r="H487">
        <f t="shared" si="28"/>
        <v>-0.94750000000000001</v>
      </c>
      <c r="I487">
        <v>41</v>
      </c>
      <c r="J487">
        <f t="shared" si="26"/>
        <v>-38.847500000000004</v>
      </c>
      <c r="K487">
        <f t="shared" si="27"/>
        <v>0</v>
      </c>
    </row>
    <row r="488" spans="2:11" x14ac:dyDescent="0.25">
      <c r="B488" s="4">
        <v>45862</v>
      </c>
      <c r="C488" t="s">
        <v>71</v>
      </c>
      <c r="E488" t="s">
        <v>63</v>
      </c>
      <c r="F488" t="s">
        <v>90</v>
      </c>
      <c r="G488" s="2">
        <v>2E-3</v>
      </c>
      <c r="H488">
        <f t="shared" si="28"/>
        <v>-0.83816200000000007</v>
      </c>
      <c r="I488">
        <v>41</v>
      </c>
      <c r="J488">
        <f t="shared" si="26"/>
        <v>-34.364642000000003</v>
      </c>
      <c r="K488">
        <f t="shared" si="27"/>
        <v>0</v>
      </c>
    </row>
    <row r="489" spans="2:11" x14ac:dyDescent="0.25">
      <c r="B489" s="4">
        <v>45862</v>
      </c>
      <c r="C489" t="s">
        <v>71</v>
      </c>
      <c r="E489" t="s">
        <v>21</v>
      </c>
      <c r="F489" t="s">
        <v>90</v>
      </c>
      <c r="G489" s="2">
        <v>0</v>
      </c>
      <c r="H489">
        <f t="shared" si="28"/>
        <v>-0.94750000000000001</v>
      </c>
      <c r="I489">
        <v>41</v>
      </c>
      <c r="J489">
        <f t="shared" si="26"/>
        <v>-38.847500000000004</v>
      </c>
      <c r="K489">
        <f t="shared" si="27"/>
        <v>0</v>
      </c>
    </row>
    <row r="490" spans="2:11" x14ac:dyDescent="0.25">
      <c r="B490" s="4">
        <v>45862</v>
      </c>
      <c r="C490" t="s">
        <v>71</v>
      </c>
      <c r="E490" t="s">
        <v>22</v>
      </c>
      <c r="F490" t="s">
        <v>90</v>
      </c>
      <c r="G490" s="2">
        <v>0</v>
      </c>
      <c r="H490">
        <f t="shared" si="28"/>
        <v>-0.94750000000000001</v>
      </c>
      <c r="I490">
        <v>41</v>
      </c>
      <c r="J490">
        <f t="shared" si="26"/>
        <v>-38.847500000000004</v>
      </c>
      <c r="K490">
        <f t="shared" si="27"/>
        <v>0</v>
      </c>
    </row>
    <row r="491" spans="2:11" x14ac:dyDescent="0.25">
      <c r="B491" s="4">
        <v>45862</v>
      </c>
      <c r="C491" t="s">
        <v>71</v>
      </c>
      <c r="E491" t="s">
        <v>23</v>
      </c>
      <c r="F491" t="s">
        <v>90</v>
      </c>
      <c r="G491" s="2">
        <v>0</v>
      </c>
      <c r="H491">
        <f t="shared" si="28"/>
        <v>-0.94750000000000001</v>
      </c>
      <c r="I491">
        <v>41</v>
      </c>
      <c r="J491">
        <f t="shared" si="26"/>
        <v>-38.847500000000004</v>
      </c>
      <c r="K491">
        <f t="shared" si="27"/>
        <v>0</v>
      </c>
    </row>
    <row r="492" spans="2:11" x14ac:dyDescent="0.25">
      <c r="B492" s="4">
        <v>45862</v>
      </c>
      <c r="C492" t="s">
        <v>71</v>
      </c>
      <c r="E492" t="s">
        <v>64</v>
      </c>
      <c r="F492" t="s">
        <v>90</v>
      </c>
      <c r="G492" s="2">
        <v>0</v>
      </c>
      <c r="H492">
        <f t="shared" si="28"/>
        <v>-0.94750000000000001</v>
      </c>
      <c r="I492">
        <v>41</v>
      </c>
      <c r="J492">
        <f t="shared" si="26"/>
        <v>-38.847500000000004</v>
      </c>
      <c r="K492">
        <f t="shared" si="27"/>
        <v>0</v>
      </c>
    </row>
    <row r="493" spans="2:11" x14ac:dyDescent="0.25">
      <c r="B493" s="4">
        <v>45862</v>
      </c>
      <c r="C493" t="s">
        <v>71</v>
      </c>
      <c r="E493" t="s">
        <v>24</v>
      </c>
      <c r="F493" t="s">
        <v>90</v>
      </c>
      <c r="G493" s="2">
        <v>0</v>
      </c>
      <c r="H493">
        <f t="shared" si="28"/>
        <v>-0.94750000000000001</v>
      </c>
      <c r="I493">
        <v>41</v>
      </c>
      <c r="J493">
        <f t="shared" si="26"/>
        <v>-38.847500000000004</v>
      </c>
      <c r="K493">
        <f t="shared" si="27"/>
        <v>0</v>
      </c>
    </row>
    <row r="494" spans="2:11" x14ac:dyDescent="0.25">
      <c r="B494" s="4">
        <v>45862</v>
      </c>
      <c r="C494" t="s">
        <v>71</v>
      </c>
      <c r="E494" t="s">
        <v>25</v>
      </c>
      <c r="F494" t="s">
        <v>90</v>
      </c>
      <c r="G494" s="2">
        <v>0</v>
      </c>
      <c r="H494">
        <f t="shared" si="28"/>
        <v>-0.94750000000000001</v>
      </c>
      <c r="I494">
        <v>41</v>
      </c>
      <c r="J494">
        <f t="shared" si="26"/>
        <v>-38.847500000000004</v>
      </c>
      <c r="K494">
        <f t="shared" si="27"/>
        <v>0</v>
      </c>
    </row>
    <row r="495" spans="2:11" x14ac:dyDescent="0.25">
      <c r="B495" s="4">
        <v>45862</v>
      </c>
      <c r="C495" t="s">
        <v>71</v>
      </c>
      <c r="E495" t="s">
        <v>26</v>
      </c>
      <c r="F495" t="s">
        <v>90</v>
      </c>
      <c r="G495" s="2">
        <v>0</v>
      </c>
      <c r="H495">
        <f t="shared" si="28"/>
        <v>-0.94750000000000001</v>
      </c>
      <c r="I495">
        <v>41</v>
      </c>
      <c r="J495">
        <f t="shared" si="26"/>
        <v>-38.847500000000004</v>
      </c>
      <c r="K495">
        <f t="shared" si="27"/>
        <v>0</v>
      </c>
    </row>
    <row r="496" spans="2:11" x14ac:dyDescent="0.25">
      <c r="B496" s="4">
        <v>45862</v>
      </c>
      <c r="C496" t="s">
        <v>71</v>
      </c>
      <c r="E496" t="s">
        <v>65</v>
      </c>
      <c r="F496" t="s">
        <v>90</v>
      </c>
      <c r="G496" s="2">
        <v>0</v>
      </c>
      <c r="H496">
        <f t="shared" si="28"/>
        <v>-0.94750000000000001</v>
      </c>
      <c r="I496">
        <v>41</v>
      </c>
      <c r="J496">
        <f t="shared" si="26"/>
        <v>-38.847500000000004</v>
      </c>
      <c r="K496">
        <f t="shared" si="27"/>
        <v>0</v>
      </c>
    </row>
    <row r="497" spans="2:11" x14ac:dyDescent="0.25">
      <c r="B497" s="4">
        <v>45862</v>
      </c>
      <c r="C497" t="s">
        <v>71</v>
      </c>
      <c r="E497" t="s">
        <v>27</v>
      </c>
      <c r="F497" t="s">
        <v>90</v>
      </c>
      <c r="G497" s="2">
        <v>0</v>
      </c>
      <c r="H497">
        <f t="shared" si="28"/>
        <v>-0.94750000000000001</v>
      </c>
      <c r="I497">
        <v>41</v>
      </c>
      <c r="J497">
        <f t="shared" si="26"/>
        <v>-38.847500000000004</v>
      </c>
      <c r="K497">
        <f t="shared" si="27"/>
        <v>0</v>
      </c>
    </row>
    <row r="498" spans="2:11" x14ac:dyDescent="0.25">
      <c r="B498" s="4">
        <v>45862</v>
      </c>
      <c r="C498" t="s">
        <v>71</v>
      </c>
      <c r="E498" t="s">
        <v>28</v>
      </c>
      <c r="F498" t="s">
        <v>90</v>
      </c>
      <c r="G498" s="2">
        <v>0</v>
      </c>
      <c r="H498">
        <f t="shared" si="28"/>
        <v>-0.94750000000000001</v>
      </c>
      <c r="I498">
        <v>41</v>
      </c>
      <c r="J498">
        <f t="shared" si="26"/>
        <v>-38.847500000000004</v>
      </c>
      <c r="K498">
        <f t="shared" si="27"/>
        <v>0</v>
      </c>
    </row>
    <row r="499" spans="2:11" x14ac:dyDescent="0.25">
      <c r="B499" s="4">
        <v>45862</v>
      </c>
      <c r="C499" t="s">
        <v>71</v>
      </c>
      <c r="D499" t="s">
        <v>67</v>
      </c>
      <c r="E499">
        <v>1</v>
      </c>
      <c r="F499" t="s">
        <v>90</v>
      </c>
      <c r="G499" s="2">
        <v>2.7E-2</v>
      </c>
      <c r="H499">
        <f t="shared" si="28"/>
        <v>0.52856299999999989</v>
      </c>
      <c r="I499">
        <v>1</v>
      </c>
      <c r="J499">
        <f t="shared" si="26"/>
        <v>0.52856299999999989</v>
      </c>
      <c r="K499">
        <f t="shared" si="27"/>
        <v>0.52856299999999989</v>
      </c>
    </row>
    <row r="500" spans="2:11" x14ac:dyDescent="0.25">
      <c r="B500" s="4">
        <v>45862</v>
      </c>
      <c r="C500" t="s">
        <v>71</v>
      </c>
      <c r="D500" t="s">
        <v>67</v>
      </c>
      <c r="E500">
        <v>2</v>
      </c>
      <c r="F500" t="s">
        <v>90</v>
      </c>
      <c r="G500" s="2">
        <v>2E-3</v>
      </c>
      <c r="H500">
        <f t="shared" si="28"/>
        <v>-0.83816200000000007</v>
      </c>
      <c r="I500">
        <v>1</v>
      </c>
      <c r="J500">
        <f t="shared" si="26"/>
        <v>-0.83816200000000007</v>
      </c>
      <c r="K500">
        <f t="shared" si="27"/>
        <v>0</v>
      </c>
    </row>
    <row r="501" spans="2:11" x14ac:dyDescent="0.25">
      <c r="B501" s="4">
        <v>45862</v>
      </c>
      <c r="C501" t="s">
        <v>71</v>
      </c>
      <c r="D501" t="s">
        <v>67</v>
      </c>
      <c r="E501">
        <v>3</v>
      </c>
      <c r="F501" t="s">
        <v>90</v>
      </c>
      <c r="G501" s="2">
        <v>1.6E-2</v>
      </c>
      <c r="H501">
        <f t="shared" si="28"/>
        <v>-7.2796000000000083E-2</v>
      </c>
      <c r="I501">
        <v>1</v>
      </c>
      <c r="J501">
        <f t="shared" si="26"/>
        <v>-7.2796000000000083E-2</v>
      </c>
      <c r="K501">
        <f t="shared" si="27"/>
        <v>0</v>
      </c>
    </row>
    <row r="502" spans="2:11" x14ac:dyDescent="0.25">
      <c r="B502" s="4">
        <v>45862</v>
      </c>
      <c r="C502" t="s">
        <v>72</v>
      </c>
      <c r="E502" t="s">
        <v>13</v>
      </c>
      <c r="F502" t="s">
        <v>90</v>
      </c>
      <c r="G502" s="2">
        <v>0.14000000000000001</v>
      </c>
      <c r="H502">
        <f t="shared" si="28"/>
        <v>6.7061600000000006</v>
      </c>
      <c r="I502">
        <v>41</v>
      </c>
      <c r="J502">
        <f t="shared" si="26"/>
        <v>274.95256000000001</v>
      </c>
      <c r="K502">
        <f t="shared" si="27"/>
        <v>274.95256000000001</v>
      </c>
    </row>
    <row r="503" spans="2:11" x14ac:dyDescent="0.25">
      <c r="B503" s="4">
        <v>45862</v>
      </c>
      <c r="C503" t="s">
        <v>72</v>
      </c>
      <c r="E503" t="s">
        <v>14</v>
      </c>
      <c r="F503" t="s">
        <v>90</v>
      </c>
      <c r="G503" s="2">
        <v>6.4000000000000001E-2</v>
      </c>
      <c r="H503">
        <f t="shared" si="28"/>
        <v>2.5513159999999999</v>
      </c>
      <c r="I503">
        <v>41</v>
      </c>
      <c r="J503">
        <f t="shared" si="26"/>
        <v>104.603956</v>
      </c>
      <c r="K503">
        <f t="shared" si="27"/>
        <v>104.603956</v>
      </c>
    </row>
    <row r="504" spans="2:11" x14ac:dyDescent="0.25">
      <c r="B504" s="4">
        <v>45862</v>
      </c>
      <c r="C504" t="s">
        <v>72</v>
      </c>
      <c r="E504" t="s">
        <v>15</v>
      </c>
      <c r="F504" t="s">
        <v>90</v>
      </c>
      <c r="G504" s="2">
        <v>0.14000000000000001</v>
      </c>
      <c r="H504">
        <f t="shared" si="28"/>
        <v>6.7061600000000006</v>
      </c>
      <c r="I504">
        <v>41</v>
      </c>
      <c r="J504">
        <f t="shared" si="26"/>
        <v>274.95256000000001</v>
      </c>
      <c r="K504">
        <f t="shared" si="27"/>
        <v>274.95256000000001</v>
      </c>
    </row>
    <row r="505" spans="2:11" x14ac:dyDescent="0.25">
      <c r="B505" s="4">
        <v>45862</v>
      </c>
      <c r="C505" t="s">
        <v>72</v>
      </c>
      <c r="E505" t="s">
        <v>61</v>
      </c>
      <c r="F505" t="s">
        <v>90</v>
      </c>
      <c r="G505" s="2">
        <v>0.115</v>
      </c>
      <c r="H505">
        <f t="shared" si="28"/>
        <v>5.3394349999999999</v>
      </c>
      <c r="I505">
        <v>41</v>
      </c>
      <c r="J505">
        <f t="shared" si="26"/>
        <v>218.91683499999999</v>
      </c>
      <c r="K505">
        <f t="shared" si="27"/>
        <v>218.91683499999999</v>
      </c>
    </row>
    <row r="506" spans="2:11" x14ac:dyDescent="0.25">
      <c r="B506" s="4">
        <v>45862</v>
      </c>
      <c r="C506" t="s">
        <v>72</v>
      </c>
      <c r="E506" t="s">
        <v>16</v>
      </c>
      <c r="F506" t="s">
        <v>90</v>
      </c>
      <c r="G506" s="2">
        <v>0.112</v>
      </c>
      <c r="H506">
        <f t="shared" si="28"/>
        <v>5.1754280000000001</v>
      </c>
      <c r="I506">
        <v>41</v>
      </c>
      <c r="J506">
        <f t="shared" si="26"/>
        <v>212.19254800000002</v>
      </c>
      <c r="K506">
        <f t="shared" si="27"/>
        <v>212.19254800000002</v>
      </c>
    </row>
    <row r="507" spans="2:11" x14ac:dyDescent="0.25">
      <c r="B507" s="4">
        <v>45862</v>
      </c>
      <c r="C507" t="s">
        <v>72</v>
      </c>
      <c r="E507" t="s">
        <v>17</v>
      </c>
      <c r="F507" t="s">
        <v>90</v>
      </c>
      <c r="G507" s="2">
        <v>7.0000000000000007E-2</v>
      </c>
      <c r="H507">
        <f t="shared" si="28"/>
        <v>2.8793300000000004</v>
      </c>
      <c r="I507">
        <v>41</v>
      </c>
      <c r="J507">
        <f t="shared" si="26"/>
        <v>118.05253000000002</v>
      </c>
      <c r="K507">
        <f t="shared" si="27"/>
        <v>118.05253000000002</v>
      </c>
    </row>
    <row r="508" spans="2:11" x14ac:dyDescent="0.25">
      <c r="B508" s="4">
        <v>45862</v>
      </c>
      <c r="C508" t="s">
        <v>72</v>
      </c>
      <c r="E508" t="s">
        <v>12</v>
      </c>
      <c r="F508" t="s">
        <v>90</v>
      </c>
      <c r="G508" s="2">
        <v>0.14000000000000001</v>
      </c>
      <c r="H508">
        <f t="shared" si="28"/>
        <v>6.7061600000000006</v>
      </c>
      <c r="I508">
        <v>41</v>
      </c>
      <c r="J508">
        <f t="shared" si="26"/>
        <v>274.95256000000001</v>
      </c>
      <c r="K508">
        <f t="shared" si="27"/>
        <v>274.95256000000001</v>
      </c>
    </row>
    <row r="509" spans="2:11" x14ac:dyDescent="0.25">
      <c r="B509" s="4">
        <v>45862</v>
      </c>
      <c r="C509" t="s">
        <v>72</v>
      </c>
      <c r="E509" t="s">
        <v>62</v>
      </c>
      <c r="F509" t="s">
        <v>90</v>
      </c>
      <c r="G509" s="2">
        <v>0.16200000000000001</v>
      </c>
      <c r="H509">
        <f t="shared" si="28"/>
        <v>7.9088779999999996</v>
      </c>
      <c r="I509">
        <v>41</v>
      </c>
      <c r="J509">
        <f t="shared" si="26"/>
        <v>324.26399799999996</v>
      </c>
      <c r="K509">
        <f t="shared" si="27"/>
        <v>324.26399799999996</v>
      </c>
    </row>
    <row r="510" spans="2:11" x14ac:dyDescent="0.25">
      <c r="B510" s="4">
        <v>45862</v>
      </c>
      <c r="C510" t="s">
        <v>72</v>
      </c>
      <c r="E510" t="s">
        <v>18</v>
      </c>
      <c r="F510" t="s">
        <v>90</v>
      </c>
      <c r="G510" s="2">
        <v>0.10199999999999999</v>
      </c>
      <c r="H510">
        <f t="shared" si="28"/>
        <v>4.6287379999999994</v>
      </c>
      <c r="I510">
        <v>41</v>
      </c>
      <c r="J510">
        <f t="shared" si="26"/>
        <v>189.77825799999997</v>
      </c>
      <c r="K510">
        <f t="shared" si="27"/>
        <v>189.77825799999997</v>
      </c>
    </row>
    <row r="511" spans="2:11" x14ac:dyDescent="0.25">
      <c r="B511" s="4">
        <v>45862</v>
      </c>
      <c r="C511" t="s">
        <v>72</v>
      </c>
      <c r="E511" t="s">
        <v>19</v>
      </c>
      <c r="F511" t="s">
        <v>90</v>
      </c>
      <c r="G511" s="2">
        <v>7.8E-2</v>
      </c>
      <c r="H511">
        <f t="shared" si="28"/>
        <v>3.3166820000000001</v>
      </c>
      <c r="I511">
        <v>41</v>
      </c>
      <c r="J511">
        <f t="shared" si="26"/>
        <v>135.98396200000002</v>
      </c>
      <c r="K511">
        <f t="shared" si="27"/>
        <v>135.98396200000002</v>
      </c>
    </row>
    <row r="512" spans="2:11" x14ac:dyDescent="0.25">
      <c r="B512" s="4">
        <v>45862</v>
      </c>
      <c r="C512" t="s">
        <v>72</v>
      </c>
      <c r="E512" t="s">
        <v>20</v>
      </c>
      <c r="F512" t="s">
        <v>90</v>
      </c>
      <c r="G512" s="2">
        <v>7.9000000000000001E-2</v>
      </c>
      <c r="H512">
        <f t="shared" si="28"/>
        <v>3.3713509999999998</v>
      </c>
      <c r="I512">
        <v>41</v>
      </c>
      <c r="J512">
        <f t="shared" si="26"/>
        <v>138.225391</v>
      </c>
      <c r="K512">
        <f t="shared" si="27"/>
        <v>138.225391</v>
      </c>
    </row>
    <row r="513" spans="2:11" x14ac:dyDescent="0.25">
      <c r="B513" s="4">
        <v>45862</v>
      </c>
      <c r="C513" t="s">
        <v>72</v>
      </c>
      <c r="E513" t="s">
        <v>63</v>
      </c>
      <c r="F513" t="s">
        <v>90</v>
      </c>
      <c r="G513" s="2">
        <v>0.10299999999999999</v>
      </c>
      <c r="H513">
        <f t="shared" si="28"/>
        <v>4.6834069999999999</v>
      </c>
      <c r="I513">
        <v>41</v>
      </c>
      <c r="J513">
        <f t="shared" si="26"/>
        <v>192.019687</v>
      </c>
      <c r="K513">
        <f t="shared" si="27"/>
        <v>192.019687</v>
      </c>
    </row>
    <row r="514" spans="2:11" x14ac:dyDescent="0.25">
      <c r="B514" s="4">
        <v>45862</v>
      </c>
      <c r="C514" t="s">
        <v>72</v>
      </c>
      <c r="E514" t="s">
        <v>21</v>
      </c>
      <c r="F514" t="s">
        <v>90</v>
      </c>
      <c r="G514" s="2">
        <v>9.5000000000000001E-2</v>
      </c>
      <c r="H514">
        <f t="shared" si="28"/>
        <v>4.2460550000000001</v>
      </c>
      <c r="I514">
        <v>41</v>
      </c>
      <c r="J514">
        <f t="shared" si="26"/>
        <v>174.088255</v>
      </c>
      <c r="K514">
        <f t="shared" si="27"/>
        <v>174.088255</v>
      </c>
    </row>
    <row r="515" spans="2:11" x14ac:dyDescent="0.25">
      <c r="B515" s="4">
        <v>45862</v>
      </c>
      <c r="C515" t="s">
        <v>72</v>
      </c>
      <c r="E515" t="s">
        <v>22</v>
      </c>
      <c r="F515" t="s">
        <v>90</v>
      </c>
      <c r="G515" s="2">
        <v>0.123</v>
      </c>
      <c r="H515">
        <f t="shared" si="28"/>
        <v>5.7767869999999997</v>
      </c>
      <c r="I515">
        <v>41</v>
      </c>
      <c r="J515">
        <f t="shared" si="26"/>
        <v>236.84826699999999</v>
      </c>
      <c r="K515">
        <f t="shared" si="27"/>
        <v>236.84826699999999</v>
      </c>
    </row>
    <row r="516" spans="2:11" x14ac:dyDescent="0.25">
      <c r="B516" s="4">
        <v>45862</v>
      </c>
      <c r="C516" t="s">
        <v>72</v>
      </c>
      <c r="E516" t="s">
        <v>23</v>
      </c>
      <c r="F516" t="s">
        <v>90</v>
      </c>
      <c r="G516" s="2">
        <v>8.1000000000000003E-2</v>
      </c>
      <c r="H516">
        <f t="shared" si="28"/>
        <v>3.4806889999999999</v>
      </c>
      <c r="I516">
        <v>41</v>
      </c>
      <c r="J516">
        <f t="shared" si="26"/>
        <v>142.708249</v>
      </c>
      <c r="K516">
        <f t="shared" si="27"/>
        <v>142.708249</v>
      </c>
    </row>
    <row r="517" spans="2:11" x14ac:dyDescent="0.25">
      <c r="B517" s="4">
        <v>45862</v>
      </c>
      <c r="C517" t="s">
        <v>72</v>
      </c>
      <c r="E517" t="s">
        <v>64</v>
      </c>
      <c r="F517" t="s">
        <v>90</v>
      </c>
      <c r="G517" s="2">
        <v>7.2999999999999995E-2</v>
      </c>
      <c r="H517">
        <f t="shared" si="28"/>
        <v>3.0433369999999993</v>
      </c>
      <c r="I517">
        <v>41</v>
      </c>
      <c r="J517">
        <f t="shared" si="26"/>
        <v>124.77681699999997</v>
      </c>
      <c r="K517">
        <f t="shared" si="27"/>
        <v>124.77681699999997</v>
      </c>
    </row>
    <row r="518" spans="2:11" x14ac:dyDescent="0.25">
      <c r="B518" s="4">
        <v>45862</v>
      </c>
      <c r="C518" t="s">
        <v>72</v>
      </c>
      <c r="E518" t="s">
        <v>24</v>
      </c>
      <c r="F518" t="s">
        <v>90</v>
      </c>
      <c r="G518" s="2">
        <v>0.112</v>
      </c>
      <c r="H518">
        <f t="shared" si="28"/>
        <v>5.1754280000000001</v>
      </c>
      <c r="I518">
        <v>41</v>
      </c>
      <c r="J518">
        <f t="shared" si="26"/>
        <v>212.19254800000002</v>
      </c>
      <c r="K518">
        <f t="shared" si="27"/>
        <v>212.19254800000002</v>
      </c>
    </row>
    <row r="519" spans="2:11" x14ac:dyDescent="0.25">
      <c r="B519" s="4">
        <v>45862</v>
      </c>
      <c r="C519" t="s">
        <v>72</v>
      </c>
      <c r="E519" t="s">
        <v>25</v>
      </c>
      <c r="F519" t="s">
        <v>90</v>
      </c>
      <c r="G519" s="2">
        <v>9.9000000000000005E-2</v>
      </c>
      <c r="H519">
        <f t="shared" si="28"/>
        <v>4.4647310000000004</v>
      </c>
      <c r="I519">
        <v>41</v>
      </c>
      <c r="J519">
        <f t="shared" si="26"/>
        <v>183.05397100000002</v>
      </c>
      <c r="K519">
        <f t="shared" si="27"/>
        <v>183.05397100000002</v>
      </c>
    </row>
    <row r="520" spans="2:11" x14ac:dyDescent="0.25">
      <c r="B520" s="4">
        <v>45862</v>
      </c>
      <c r="C520" t="s">
        <v>72</v>
      </c>
      <c r="E520" t="s">
        <v>26</v>
      </c>
      <c r="F520" t="s">
        <v>90</v>
      </c>
      <c r="G520" s="2">
        <v>0</v>
      </c>
      <c r="H520">
        <f t="shared" si="28"/>
        <v>-0.94750000000000001</v>
      </c>
      <c r="I520">
        <v>41</v>
      </c>
      <c r="J520">
        <f t="shared" si="26"/>
        <v>-38.847500000000004</v>
      </c>
      <c r="K520">
        <f t="shared" si="27"/>
        <v>0</v>
      </c>
    </row>
    <row r="521" spans="2:11" x14ac:dyDescent="0.25">
      <c r="B521" s="4">
        <v>45862</v>
      </c>
      <c r="C521" t="s">
        <v>72</v>
      </c>
      <c r="E521" t="s">
        <v>65</v>
      </c>
      <c r="F521" t="s">
        <v>90</v>
      </c>
      <c r="G521" s="2">
        <v>7.3999999999999996E-2</v>
      </c>
      <c r="H521">
        <f t="shared" si="28"/>
        <v>3.0980059999999998</v>
      </c>
      <c r="I521">
        <v>41</v>
      </c>
      <c r="J521">
        <f t="shared" si="26"/>
        <v>127.01824599999999</v>
      </c>
      <c r="K521">
        <f t="shared" si="27"/>
        <v>127.01824599999999</v>
      </c>
    </row>
    <row r="522" spans="2:11" x14ac:dyDescent="0.25">
      <c r="B522" s="4">
        <v>45862</v>
      </c>
      <c r="C522" t="s">
        <v>72</v>
      </c>
      <c r="E522" t="s">
        <v>27</v>
      </c>
      <c r="F522" t="s">
        <v>90</v>
      </c>
      <c r="G522" s="2">
        <v>0.09</v>
      </c>
      <c r="H522">
        <f t="shared" si="28"/>
        <v>3.9727100000000002</v>
      </c>
      <c r="I522">
        <v>41</v>
      </c>
      <c r="J522">
        <f t="shared" si="26"/>
        <v>162.88111000000001</v>
      </c>
      <c r="K522">
        <f t="shared" si="27"/>
        <v>162.88111000000001</v>
      </c>
    </row>
    <row r="523" spans="2:11" x14ac:dyDescent="0.25">
      <c r="B523" s="4">
        <v>45862</v>
      </c>
      <c r="C523" t="s">
        <v>72</v>
      </c>
      <c r="E523" t="s">
        <v>28</v>
      </c>
      <c r="F523" t="s">
        <v>90</v>
      </c>
      <c r="G523" s="2">
        <v>0.14799999999999999</v>
      </c>
      <c r="H523">
        <f t="shared" si="28"/>
        <v>7.1435119999999994</v>
      </c>
      <c r="I523">
        <v>41</v>
      </c>
      <c r="J523">
        <f t="shared" si="26"/>
        <v>292.88399199999998</v>
      </c>
      <c r="K523">
        <f t="shared" si="27"/>
        <v>292.88399199999998</v>
      </c>
    </row>
    <row r="524" spans="2:11" x14ac:dyDescent="0.25">
      <c r="B524" s="4">
        <v>45862</v>
      </c>
      <c r="C524" t="s">
        <v>72</v>
      </c>
      <c r="E524" t="s">
        <v>29</v>
      </c>
      <c r="F524" t="s">
        <v>90</v>
      </c>
      <c r="G524" s="2">
        <v>8.5000000000000006E-2</v>
      </c>
      <c r="H524">
        <f t="shared" si="28"/>
        <v>3.6993650000000002</v>
      </c>
      <c r="I524">
        <v>41</v>
      </c>
      <c r="J524">
        <f t="shared" si="26"/>
        <v>151.67396500000001</v>
      </c>
      <c r="K524">
        <f t="shared" si="27"/>
        <v>151.67396500000001</v>
      </c>
    </row>
    <row r="525" spans="2:11" x14ac:dyDescent="0.25">
      <c r="B525" s="4">
        <v>45862</v>
      </c>
      <c r="C525" t="s">
        <v>72</v>
      </c>
      <c r="E525" t="s">
        <v>66</v>
      </c>
      <c r="F525" t="s">
        <v>90</v>
      </c>
      <c r="G525" s="2">
        <v>9.7000000000000003E-2</v>
      </c>
      <c r="H525">
        <f t="shared" si="28"/>
        <v>4.3553930000000003</v>
      </c>
      <c r="I525">
        <v>41</v>
      </c>
      <c r="J525">
        <f t="shared" si="26"/>
        <v>178.57111300000003</v>
      </c>
      <c r="K525">
        <f t="shared" si="27"/>
        <v>178.57111300000003</v>
      </c>
    </row>
    <row r="526" spans="2:11" x14ac:dyDescent="0.25">
      <c r="B526" s="4">
        <v>45862</v>
      </c>
      <c r="C526" t="s">
        <v>72</v>
      </c>
      <c r="D526" t="s">
        <v>67</v>
      </c>
      <c r="E526">
        <v>1</v>
      </c>
      <c r="F526" t="s">
        <v>90</v>
      </c>
      <c r="G526" s="2">
        <v>0.156</v>
      </c>
      <c r="H526">
        <f t="shared" si="28"/>
        <v>7.580864</v>
      </c>
      <c r="I526">
        <v>1</v>
      </c>
      <c r="J526">
        <f t="shared" si="26"/>
        <v>7.580864</v>
      </c>
      <c r="K526">
        <f t="shared" si="27"/>
        <v>7.580864</v>
      </c>
    </row>
    <row r="527" spans="2:11" x14ac:dyDescent="0.25">
      <c r="B527" s="4">
        <v>45862</v>
      </c>
      <c r="C527" t="s">
        <v>72</v>
      </c>
      <c r="D527" t="s">
        <v>67</v>
      </c>
      <c r="E527">
        <v>2</v>
      </c>
      <c r="F527" t="s">
        <v>90</v>
      </c>
      <c r="G527" s="2">
        <v>0.01</v>
      </c>
      <c r="H527">
        <f t="shared" si="28"/>
        <v>-0.40081</v>
      </c>
      <c r="I527">
        <v>1</v>
      </c>
      <c r="J527">
        <f t="shared" si="26"/>
        <v>-0.40081</v>
      </c>
      <c r="K527">
        <f t="shared" si="27"/>
        <v>0</v>
      </c>
    </row>
    <row r="528" spans="2:11" x14ac:dyDescent="0.25">
      <c r="B528" s="4">
        <v>45862</v>
      </c>
      <c r="C528" t="s">
        <v>72</v>
      </c>
      <c r="D528" t="s">
        <v>67</v>
      </c>
      <c r="E528">
        <v>3</v>
      </c>
      <c r="F528" t="s">
        <v>90</v>
      </c>
      <c r="G528" s="2">
        <v>1.2E-2</v>
      </c>
      <c r="H528">
        <f t="shared" si="28"/>
        <v>-0.29147200000000006</v>
      </c>
      <c r="I528">
        <v>1</v>
      </c>
      <c r="J528">
        <f t="shared" si="26"/>
        <v>-0.29147200000000006</v>
      </c>
      <c r="K528">
        <f t="shared" si="27"/>
        <v>0</v>
      </c>
    </row>
    <row r="529" spans="2:11" x14ac:dyDescent="0.25">
      <c r="B529" s="1">
        <v>45873</v>
      </c>
      <c r="C529" s="2" t="s">
        <v>324</v>
      </c>
      <c r="E529">
        <v>1</v>
      </c>
      <c r="F529" t="s">
        <v>90</v>
      </c>
      <c r="G529" s="2">
        <v>0.02</v>
      </c>
      <c r="H529">
        <f t="shared" si="28"/>
        <v>0.14588000000000001</v>
      </c>
      <c r="I529">
        <v>41</v>
      </c>
      <c r="J529">
        <f t="shared" si="26"/>
        <v>5.9810800000000004</v>
      </c>
      <c r="K529">
        <f t="shared" si="27"/>
        <v>5.9810800000000004</v>
      </c>
    </row>
    <row r="530" spans="2:11" x14ac:dyDescent="0.25">
      <c r="B530" s="1">
        <v>45873</v>
      </c>
      <c r="C530" s="2" t="s">
        <v>324</v>
      </c>
      <c r="E530">
        <v>2</v>
      </c>
      <c r="F530" t="s">
        <v>90</v>
      </c>
      <c r="G530" s="2">
        <v>3.0000000000000001E-3</v>
      </c>
      <c r="H530">
        <f t="shared" si="28"/>
        <v>-0.78349299999999999</v>
      </c>
      <c r="I530">
        <v>41</v>
      </c>
      <c r="J530">
        <f t="shared" si="26"/>
        <v>-32.123213</v>
      </c>
      <c r="K530">
        <f t="shared" si="27"/>
        <v>0</v>
      </c>
    </row>
    <row r="531" spans="2:11" x14ac:dyDescent="0.25">
      <c r="B531" s="1">
        <v>45873</v>
      </c>
      <c r="C531" s="2" t="s">
        <v>324</v>
      </c>
      <c r="E531">
        <v>3</v>
      </c>
      <c r="F531" t="s">
        <v>90</v>
      </c>
      <c r="G531" s="2">
        <v>1.2999999999999999E-2</v>
      </c>
      <c r="H531">
        <f t="shared" si="28"/>
        <v>-0.2368030000000001</v>
      </c>
      <c r="I531">
        <v>41</v>
      </c>
      <c r="J531">
        <f t="shared" si="26"/>
        <v>-9.708923000000004</v>
      </c>
      <c r="K531">
        <f t="shared" si="27"/>
        <v>0</v>
      </c>
    </row>
    <row r="532" spans="2:11" x14ac:dyDescent="0.25">
      <c r="B532" s="1">
        <v>45873</v>
      </c>
      <c r="C532" s="2" t="s">
        <v>325</v>
      </c>
      <c r="D532" t="s">
        <v>67</v>
      </c>
      <c r="E532">
        <v>1</v>
      </c>
      <c r="F532" t="s">
        <v>90</v>
      </c>
      <c r="G532" s="2">
        <v>7.0000000000000001E-3</v>
      </c>
      <c r="H532">
        <f t="shared" si="28"/>
        <v>-0.56481700000000001</v>
      </c>
      <c r="I532">
        <v>1</v>
      </c>
      <c r="J532">
        <f t="shared" si="26"/>
        <v>-0.56481700000000001</v>
      </c>
      <c r="K532">
        <f t="shared" si="27"/>
        <v>0</v>
      </c>
    </row>
    <row r="533" spans="2:11" x14ac:dyDescent="0.25">
      <c r="B533" s="1">
        <v>45873</v>
      </c>
      <c r="C533" s="2" t="s">
        <v>325</v>
      </c>
      <c r="D533" t="s">
        <v>67</v>
      </c>
      <c r="E533">
        <v>2</v>
      </c>
      <c r="F533" t="s">
        <v>90</v>
      </c>
      <c r="G533" s="2">
        <v>2.5000000000000001E-2</v>
      </c>
      <c r="H533">
        <f t="shared" si="28"/>
        <v>0.41922499999999996</v>
      </c>
      <c r="I533">
        <v>1</v>
      </c>
      <c r="J533">
        <f t="shared" si="26"/>
        <v>0.41922499999999996</v>
      </c>
      <c r="K533">
        <f t="shared" si="27"/>
        <v>0.41922499999999996</v>
      </c>
    </row>
    <row r="534" spans="2:11" x14ac:dyDescent="0.25">
      <c r="B534" s="1">
        <v>45873</v>
      </c>
      <c r="C534" s="2" t="s">
        <v>325</v>
      </c>
      <c r="D534" t="s">
        <v>67</v>
      </c>
      <c r="E534">
        <v>1</v>
      </c>
      <c r="F534" t="s">
        <v>90</v>
      </c>
      <c r="G534" s="2">
        <v>3.0000000000000001E-3</v>
      </c>
      <c r="H534">
        <f t="shared" si="28"/>
        <v>-0.78349299999999999</v>
      </c>
      <c r="I534">
        <v>1</v>
      </c>
      <c r="J534">
        <f t="shared" si="26"/>
        <v>-0.78349299999999999</v>
      </c>
      <c r="K534">
        <f t="shared" si="27"/>
        <v>0</v>
      </c>
    </row>
    <row r="535" spans="2:11" x14ac:dyDescent="0.25">
      <c r="B535" s="1">
        <v>45876</v>
      </c>
      <c r="C535" t="s">
        <v>70</v>
      </c>
      <c r="E535" t="s">
        <v>13</v>
      </c>
      <c r="F535" t="s">
        <v>90</v>
      </c>
      <c r="G535" s="2">
        <v>3.1E-2</v>
      </c>
      <c r="H535">
        <f t="shared" si="28"/>
        <v>0.74723899999999999</v>
      </c>
      <c r="I535">
        <v>41</v>
      </c>
      <c r="J535">
        <f t="shared" si="26"/>
        <v>30.636799</v>
      </c>
      <c r="K535">
        <f t="shared" si="27"/>
        <v>30.636799</v>
      </c>
    </row>
    <row r="536" spans="2:11" x14ac:dyDescent="0.25">
      <c r="B536" s="1">
        <v>45876</v>
      </c>
      <c r="C536" t="s">
        <v>70</v>
      </c>
      <c r="E536" t="s">
        <v>14</v>
      </c>
      <c r="F536" t="s">
        <v>90</v>
      </c>
      <c r="G536" s="2">
        <v>1.6E-2</v>
      </c>
      <c r="H536">
        <f t="shared" si="28"/>
        <v>-7.2796000000000083E-2</v>
      </c>
      <c r="I536">
        <v>41</v>
      </c>
      <c r="J536">
        <f t="shared" si="26"/>
        <v>-2.9846360000000036</v>
      </c>
      <c r="K536">
        <f t="shared" si="27"/>
        <v>0</v>
      </c>
    </row>
    <row r="537" spans="2:11" x14ac:dyDescent="0.25">
      <c r="B537" s="1">
        <v>45876</v>
      </c>
      <c r="C537" t="s">
        <v>70</v>
      </c>
      <c r="E537" t="s">
        <v>15</v>
      </c>
      <c r="F537" t="s">
        <v>90</v>
      </c>
      <c r="G537" s="2">
        <v>4.2999999999999997E-2</v>
      </c>
      <c r="H537">
        <f t="shared" si="28"/>
        <v>1.4032669999999998</v>
      </c>
      <c r="I537">
        <v>41</v>
      </c>
      <c r="J537">
        <f t="shared" si="26"/>
        <v>57.533946999999991</v>
      </c>
      <c r="K537">
        <f t="shared" si="27"/>
        <v>57.533946999999991</v>
      </c>
    </row>
    <row r="538" spans="2:11" x14ac:dyDescent="0.25">
      <c r="B538" s="1">
        <v>45876</v>
      </c>
      <c r="C538" t="s">
        <v>70</v>
      </c>
      <c r="E538" t="s">
        <v>61</v>
      </c>
      <c r="F538" t="s">
        <v>90</v>
      </c>
      <c r="G538" s="2">
        <v>0.01</v>
      </c>
      <c r="H538">
        <f t="shared" si="28"/>
        <v>-0.40081</v>
      </c>
      <c r="I538">
        <v>41</v>
      </c>
      <c r="J538">
        <f t="shared" si="26"/>
        <v>-16.433209999999999</v>
      </c>
      <c r="K538">
        <f t="shared" si="27"/>
        <v>0</v>
      </c>
    </row>
    <row r="539" spans="2:11" x14ac:dyDescent="0.25">
      <c r="B539" s="1">
        <v>45876</v>
      </c>
      <c r="C539" t="s">
        <v>70</v>
      </c>
      <c r="E539" t="s">
        <v>16</v>
      </c>
      <c r="F539" t="s">
        <v>90</v>
      </c>
      <c r="G539" s="2">
        <v>0</v>
      </c>
      <c r="H539">
        <f t="shared" si="28"/>
        <v>-0.94750000000000001</v>
      </c>
      <c r="I539">
        <v>41</v>
      </c>
      <c r="J539">
        <f t="shared" ref="J539:J602" si="29">H539*I539</f>
        <v>-38.847500000000004</v>
      </c>
      <c r="K539">
        <f t="shared" ref="K539:K602" si="30">MAX(J539,0)</f>
        <v>0</v>
      </c>
    </row>
    <row r="540" spans="2:11" x14ac:dyDescent="0.25">
      <c r="B540" s="1">
        <v>45876</v>
      </c>
      <c r="C540" t="s">
        <v>70</v>
      </c>
      <c r="E540" t="s">
        <v>17</v>
      </c>
      <c r="F540" t="s">
        <v>90</v>
      </c>
      <c r="G540" s="2">
        <v>1.9E-2</v>
      </c>
      <c r="H540">
        <f t="shared" ref="H540:H603" si="31">(54.669*G540)-0.9475</f>
        <v>9.1210999999999931E-2</v>
      </c>
      <c r="I540">
        <v>41</v>
      </c>
      <c r="J540">
        <f t="shared" si="29"/>
        <v>3.7396509999999972</v>
      </c>
      <c r="K540">
        <f t="shared" si="30"/>
        <v>3.7396509999999972</v>
      </c>
    </row>
    <row r="541" spans="2:11" x14ac:dyDescent="0.25">
      <c r="B541" s="1">
        <v>45876</v>
      </c>
      <c r="C541" t="s">
        <v>70</v>
      </c>
      <c r="E541" t="s">
        <v>12</v>
      </c>
      <c r="F541" t="s">
        <v>90</v>
      </c>
      <c r="G541" s="2">
        <v>2.1000000000000001E-2</v>
      </c>
      <c r="H541">
        <f t="shared" si="31"/>
        <v>0.20054900000000009</v>
      </c>
      <c r="I541">
        <v>41</v>
      </c>
      <c r="J541">
        <f t="shared" si="29"/>
        <v>8.2225090000000041</v>
      </c>
      <c r="K541">
        <f t="shared" si="30"/>
        <v>8.2225090000000041</v>
      </c>
    </row>
    <row r="542" spans="2:11" x14ac:dyDescent="0.25">
      <c r="B542" s="1">
        <v>45876</v>
      </c>
      <c r="C542" t="s">
        <v>70</v>
      </c>
      <c r="E542" t="s">
        <v>62</v>
      </c>
      <c r="F542" t="s">
        <v>90</v>
      </c>
      <c r="G542" s="2">
        <v>2.4E-2</v>
      </c>
      <c r="H542">
        <f t="shared" si="31"/>
        <v>0.36455599999999988</v>
      </c>
      <c r="I542">
        <v>41</v>
      </c>
      <c r="J542">
        <f t="shared" si="29"/>
        <v>14.946795999999996</v>
      </c>
      <c r="K542">
        <f t="shared" si="30"/>
        <v>14.946795999999996</v>
      </c>
    </row>
    <row r="543" spans="2:11" x14ac:dyDescent="0.25">
      <c r="B543" s="1">
        <v>45876</v>
      </c>
      <c r="C543" t="s">
        <v>70</v>
      </c>
      <c r="E543" t="s">
        <v>18</v>
      </c>
      <c r="F543" t="s">
        <v>90</v>
      </c>
      <c r="G543" s="2">
        <v>2.7E-2</v>
      </c>
      <c r="H543">
        <f t="shared" si="31"/>
        <v>0.52856299999999989</v>
      </c>
      <c r="I543">
        <v>41</v>
      </c>
      <c r="J543">
        <f t="shared" si="29"/>
        <v>21.671082999999996</v>
      </c>
      <c r="K543">
        <f t="shared" si="30"/>
        <v>21.671082999999996</v>
      </c>
    </row>
    <row r="544" spans="2:11" x14ac:dyDescent="0.25">
      <c r="B544" s="1">
        <v>45876</v>
      </c>
      <c r="C544" t="s">
        <v>70</v>
      </c>
      <c r="E544" t="s">
        <v>19</v>
      </c>
      <c r="F544" t="s">
        <v>90</v>
      </c>
      <c r="G544" s="2">
        <v>5.0000000000000001E-3</v>
      </c>
      <c r="H544">
        <f t="shared" si="31"/>
        <v>-0.67415500000000006</v>
      </c>
      <c r="I544">
        <v>41</v>
      </c>
      <c r="J544">
        <f t="shared" si="29"/>
        <v>-27.640355000000003</v>
      </c>
      <c r="K544">
        <f t="shared" si="30"/>
        <v>0</v>
      </c>
    </row>
    <row r="545" spans="2:11" x14ac:dyDescent="0.25">
      <c r="B545" s="1">
        <v>45876</v>
      </c>
      <c r="C545" t="s">
        <v>70</v>
      </c>
      <c r="E545" t="s">
        <v>20</v>
      </c>
      <c r="F545" t="s">
        <v>90</v>
      </c>
      <c r="G545" s="2">
        <v>2.5999999999999999E-2</v>
      </c>
      <c r="H545">
        <f t="shared" si="31"/>
        <v>0.47389399999999982</v>
      </c>
      <c r="I545">
        <v>41</v>
      </c>
      <c r="J545">
        <f t="shared" si="29"/>
        <v>19.429653999999992</v>
      </c>
      <c r="K545">
        <f t="shared" si="30"/>
        <v>19.429653999999992</v>
      </c>
    </row>
    <row r="546" spans="2:11" x14ac:dyDescent="0.25">
      <c r="B546" s="1">
        <v>45876</v>
      </c>
      <c r="C546" t="s">
        <v>70</v>
      </c>
      <c r="E546" t="s">
        <v>63</v>
      </c>
      <c r="F546" t="s">
        <v>90</v>
      </c>
      <c r="G546" s="2">
        <v>6.0000000000000001E-3</v>
      </c>
      <c r="H546">
        <f t="shared" si="31"/>
        <v>-0.61948599999999998</v>
      </c>
      <c r="I546">
        <v>41</v>
      </c>
      <c r="J546">
        <f t="shared" si="29"/>
        <v>-25.398925999999999</v>
      </c>
      <c r="K546">
        <f t="shared" si="30"/>
        <v>0</v>
      </c>
    </row>
    <row r="547" spans="2:11" x14ac:dyDescent="0.25">
      <c r="B547" s="1">
        <v>45876</v>
      </c>
      <c r="C547" t="s">
        <v>70</v>
      </c>
      <c r="E547" t="s">
        <v>21</v>
      </c>
      <c r="F547" t="s">
        <v>90</v>
      </c>
      <c r="G547" s="2">
        <v>2E-3</v>
      </c>
      <c r="H547">
        <f t="shared" si="31"/>
        <v>-0.83816200000000007</v>
      </c>
      <c r="I547">
        <v>41</v>
      </c>
      <c r="J547">
        <f t="shared" si="29"/>
        <v>-34.364642000000003</v>
      </c>
      <c r="K547">
        <f t="shared" si="30"/>
        <v>0</v>
      </c>
    </row>
    <row r="548" spans="2:11" x14ac:dyDescent="0.25">
      <c r="B548" s="1">
        <v>45876</v>
      </c>
      <c r="C548" t="s">
        <v>70</v>
      </c>
      <c r="E548" t="s">
        <v>22</v>
      </c>
      <c r="F548" t="s">
        <v>90</v>
      </c>
      <c r="G548" s="2">
        <v>0.01</v>
      </c>
      <c r="H548">
        <f t="shared" si="31"/>
        <v>-0.40081</v>
      </c>
      <c r="I548">
        <v>41</v>
      </c>
      <c r="J548">
        <f t="shared" si="29"/>
        <v>-16.433209999999999</v>
      </c>
      <c r="K548">
        <f t="shared" si="30"/>
        <v>0</v>
      </c>
    </row>
    <row r="549" spans="2:11" x14ac:dyDescent="0.25">
      <c r="B549" s="1">
        <v>45876</v>
      </c>
      <c r="C549" t="s">
        <v>70</v>
      </c>
      <c r="E549" t="s">
        <v>23</v>
      </c>
      <c r="F549" t="s">
        <v>90</v>
      </c>
      <c r="G549" s="2">
        <v>4.2999999999999997E-2</v>
      </c>
      <c r="H549">
        <f t="shared" si="31"/>
        <v>1.4032669999999998</v>
      </c>
      <c r="I549">
        <v>41</v>
      </c>
      <c r="J549">
        <f t="shared" si="29"/>
        <v>57.533946999999991</v>
      </c>
      <c r="K549">
        <f t="shared" si="30"/>
        <v>57.533946999999991</v>
      </c>
    </row>
    <row r="550" spans="2:11" x14ac:dyDescent="0.25">
      <c r="B550" s="1">
        <v>45876</v>
      </c>
      <c r="C550" t="s">
        <v>70</v>
      </c>
      <c r="E550" t="s">
        <v>64</v>
      </c>
      <c r="F550" t="s">
        <v>90</v>
      </c>
      <c r="G550" s="2">
        <v>2.4E-2</v>
      </c>
      <c r="H550">
        <f t="shared" si="31"/>
        <v>0.36455599999999988</v>
      </c>
      <c r="I550">
        <v>41</v>
      </c>
      <c r="J550">
        <f t="shared" si="29"/>
        <v>14.946795999999996</v>
      </c>
      <c r="K550">
        <f t="shared" si="30"/>
        <v>14.946795999999996</v>
      </c>
    </row>
    <row r="551" spans="2:11" x14ac:dyDescent="0.25">
      <c r="B551" s="1">
        <v>45876</v>
      </c>
      <c r="C551" t="s">
        <v>70</v>
      </c>
      <c r="D551" t="s">
        <v>67</v>
      </c>
      <c r="E551">
        <v>1</v>
      </c>
      <c r="F551" t="s">
        <v>90</v>
      </c>
      <c r="G551" s="2">
        <v>0</v>
      </c>
      <c r="H551">
        <f t="shared" si="31"/>
        <v>-0.94750000000000001</v>
      </c>
      <c r="I551">
        <v>1</v>
      </c>
      <c r="J551">
        <f t="shared" si="29"/>
        <v>-0.94750000000000001</v>
      </c>
      <c r="K551">
        <f t="shared" si="30"/>
        <v>0</v>
      </c>
    </row>
    <row r="552" spans="2:11" x14ac:dyDescent="0.25">
      <c r="B552" s="1">
        <v>45876</v>
      </c>
      <c r="C552" t="s">
        <v>70</v>
      </c>
      <c r="D552" t="s">
        <v>67</v>
      </c>
      <c r="E552">
        <v>2</v>
      </c>
      <c r="F552" t="s">
        <v>90</v>
      </c>
      <c r="G552" s="2">
        <v>0</v>
      </c>
      <c r="H552">
        <f t="shared" si="31"/>
        <v>-0.94750000000000001</v>
      </c>
      <c r="I552">
        <v>1</v>
      </c>
      <c r="J552">
        <f t="shared" si="29"/>
        <v>-0.94750000000000001</v>
      </c>
      <c r="K552">
        <f t="shared" si="30"/>
        <v>0</v>
      </c>
    </row>
    <row r="553" spans="2:11" x14ac:dyDescent="0.25">
      <c r="B553" s="1">
        <v>45876</v>
      </c>
      <c r="C553" t="s">
        <v>70</v>
      </c>
      <c r="D553" t="s">
        <v>67</v>
      </c>
      <c r="E553">
        <v>3</v>
      </c>
      <c r="F553" t="s">
        <v>90</v>
      </c>
      <c r="G553" s="2">
        <v>1E-3</v>
      </c>
      <c r="H553">
        <f t="shared" si="31"/>
        <v>-0.89283100000000004</v>
      </c>
      <c r="I553">
        <v>1</v>
      </c>
      <c r="J553">
        <f t="shared" si="29"/>
        <v>-0.89283100000000004</v>
      </c>
      <c r="K553">
        <f t="shared" si="30"/>
        <v>0</v>
      </c>
    </row>
    <row r="554" spans="2:11" x14ac:dyDescent="0.25">
      <c r="B554" s="1">
        <v>45876</v>
      </c>
      <c r="C554" t="s">
        <v>71</v>
      </c>
      <c r="E554" t="s">
        <v>13</v>
      </c>
      <c r="F554" t="s">
        <v>90</v>
      </c>
      <c r="G554" s="2">
        <v>5.0000000000000001E-3</v>
      </c>
      <c r="H554">
        <f t="shared" si="31"/>
        <v>-0.67415500000000006</v>
      </c>
      <c r="I554">
        <v>41</v>
      </c>
      <c r="J554">
        <f t="shared" si="29"/>
        <v>-27.640355000000003</v>
      </c>
      <c r="K554">
        <f t="shared" si="30"/>
        <v>0</v>
      </c>
    </row>
    <row r="555" spans="2:11" x14ac:dyDescent="0.25">
      <c r="B555" s="1">
        <v>45876</v>
      </c>
      <c r="C555" t="s">
        <v>71</v>
      </c>
      <c r="E555" t="s">
        <v>14</v>
      </c>
      <c r="F555" t="s">
        <v>90</v>
      </c>
      <c r="G555" s="2">
        <v>3.0000000000000001E-3</v>
      </c>
      <c r="H555">
        <f t="shared" si="31"/>
        <v>-0.78349299999999999</v>
      </c>
      <c r="I555">
        <v>41</v>
      </c>
      <c r="J555">
        <f t="shared" si="29"/>
        <v>-32.123213</v>
      </c>
      <c r="K555">
        <f t="shared" si="30"/>
        <v>0</v>
      </c>
    </row>
    <row r="556" spans="2:11" x14ac:dyDescent="0.25">
      <c r="B556" s="1">
        <v>45876</v>
      </c>
      <c r="C556" t="s">
        <v>71</v>
      </c>
      <c r="E556" t="s">
        <v>15</v>
      </c>
      <c r="F556" t="s">
        <v>90</v>
      </c>
      <c r="G556" s="2">
        <v>0</v>
      </c>
      <c r="H556">
        <f t="shared" si="31"/>
        <v>-0.94750000000000001</v>
      </c>
      <c r="I556">
        <v>41</v>
      </c>
      <c r="J556">
        <f t="shared" si="29"/>
        <v>-38.847500000000004</v>
      </c>
      <c r="K556">
        <f t="shared" si="30"/>
        <v>0</v>
      </c>
    </row>
    <row r="557" spans="2:11" x14ac:dyDescent="0.25">
      <c r="B557" s="1">
        <v>45876</v>
      </c>
      <c r="C557" t="s">
        <v>71</v>
      </c>
      <c r="E557" t="s">
        <v>61</v>
      </c>
      <c r="F557" t="s">
        <v>90</v>
      </c>
      <c r="G557" s="2">
        <v>0</v>
      </c>
      <c r="H557">
        <f t="shared" si="31"/>
        <v>-0.94750000000000001</v>
      </c>
      <c r="I557">
        <v>41</v>
      </c>
      <c r="J557">
        <f t="shared" si="29"/>
        <v>-38.847500000000004</v>
      </c>
      <c r="K557">
        <f t="shared" si="30"/>
        <v>0</v>
      </c>
    </row>
    <row r="558" spans="2:11" x14ac:dyDescent="0.25">
      <c r="B558" s="1">
        <v>45876</v>
      </c>
      <c r="C558" t="s">
        <v>71</v>
      </c>
      <c r="E558" t="s">
        <v>16</v>
      </c>
      <c r="F558" t="s">
        <v>90</v>
      </c>
      <c r="G558" s="2">
        <v>5.0000000000000001E-3</v>
      </c>
      <c r="H558">
        <f t="shared" si="31"/>
        <v>-0.67415500000000006</v>
      </c>
      <c r="I558">
        <v>41</v>
      </c>
      <c r="J558">
        <f t="shared" si="29"/>
        <v>-27.640355000000003</v>
      </c>
      <c r="K558">
        <f t="shared" si="30"/>
        <v>0</v>
      </c>
    </row>
    <row r="559" spans="2:11" x14ac:dyDescent="0.25">
      <c r="B559" s="1">
        <v>45876</v>
      </c>
      <c r="C559" t="s">
        <v>71</v>
      </c>
      <c r="E559" t="s">
        <v>17</v>
      </c>
      <c r="F559" t="s">
        <v>90</v>
      </c>
      <c r="G559" s="2">
        <v>5.0000000000000001E-3</v>
      </c>
      <c r="H559">
        <f t="shared" si="31"/>
        <v>-0.67415500000000006</v>
      </c>
      <c r="I559">
        <v>41</v>
      </c>
      <c r="J559">
        <f t="shared" si="29"/>
        <v>-27.640355000000003</v>
      </c>
      <c r="K559">
        <f t="shared" si="30"/>
        <v>0</v>
      </c>
    </row>
    <row r="560" spans="2:11" x14ac:dyDescent="0.25">
      <c r="B560" s="1">
        <v>45876</v>
      </c>
      <c r="C560" t="s">
        <v>71</v>
      </c>
      <c r="E560" t="s">
        <v>12</v>
      </c>
      <c r="F560" t="s">
        <v>90</v>
      </c>
      <c r="G560" s="2">
        <v>7.0000000000000001E-3</v>
      </c>
      <c r="H560">
        <f t="shared" si="31"/>
        <v>-0.56481700000000001</v>
      </c>
      <c r="I560">
        <v>41</v>
      </c>
      <c r="J560">
        <f t="shared" si="29"/>
        <v>-23.157496999999999</v>
      </c>
      <c r="K560">
        <f t="shared" si="30"/>
        <v>0</v>
      </c>
    </row>
    <row r="561" spans="2:11" x14ac:dyDescent="0.25">
      <c r="B561" s="1">
        <v>45876</v>
      </c>
      <c r="C561" t="s">
        <v>71</v>
      </c>
      <c r="E561" t="s">
        <v>62</v>
      </c>
      <c r="F561" t="s">
        <v>90</v>
      </c>
      <c r="G561" s="2">
        <v>3.0000000000000001E-3</v>
      </c>
      <c r="H561">
        <f t="shared" si="31"/>
        <v>-0.78349299999999999</v>
      </c>
      <c r="I561">
        <v>41</v>
      </c>
      <c r="J561">
        <f t="shared" si="29"/>
        <v>-32.123213</v>
      </c>
      <c r="K561">
        <f t="shared" si="30"/>
        <v>0</v>
      </c>
    </row>
    <row r="562" spans="2:11" x14ac:dyDescent="0.25">
      <c r="B562" s="1">
        <v>45876</v>
      </c>
      <c r="C562" t="s">
        <v>71</v>
      </c>
      <c r="E562" t="s">
        <v>18</v>
      </c>
      <c r="F562" t="s">
        <v>90</v>
      </c>
      <c r="G562" s="2">
        <v>2E-3</v>
      </c>
      <c r="H562">
        <f t="shared" si="31"/>
        <v>-0.83816200000000007</v>
      </c>
      <c r="I562">
        <v>41</v>
      </c>
      <c r="J562">
        <f t="shared" si="29"/>
        <v>-34.364642000000003</v>
      </c>
      <c r="K562">
        <f t="shared" si="30"/>
        <v>0</v>
      </c>
    </row>
    <row r="563" spans="2:11" x14ac:dyDescent="0.25">
      <c r="B563" s="1">
        <v>45876</v>
      </c>
      <c r="C563" t="s">
        <v>71</v>
      </c>
      <c r="E563" t="s">
        <v>19</v>
      </c>
      <c r="F563" t="s">
        <v>90</v>
      </c>
      <c r="G563" s="2">
        <v>0.01</v>
      </c>
      <c r="H563">
        <f t="shared" si="31"/>
        <v>-0.40081</v>
      </c>
      <c r="I563">
        <v>41</v>
      </c>
      <c r="J563">
        <f t="shared" si="29"/>
        <v>-16.433209999999999</v>
      </c>
      <c r="K563">
        <f t="shared" si="30"/>
        <v>0</v>
      </c>
    </row>
    <row r="564" spans="2:11" x14ac:dyDescent="0.25">
      <c r="B564" s="1">
        <v>45876</v>
      </c>
      <c r="C564" t="s">
        <v>71</v>
      </c>
      <c r="E564" t="s">
        <v>20</v>
      </c>
      <c r="F564" t="s">
        <v>90</v>
      </c>
      <c r="G564" s="2">
        <v>1.7999999999999999E-2</v>
      </c>
      <c r="H564">
        <f t="shared" si="31"/>
        <v>3.6541999999999852E-2</v>
      </c>
      <c r="I564">
        <v>41</v>
      </c>
      <c r="J564">
        <f t="shared" si="29"/>
        <v>1.4982219999999939</v>
      </c>
      <c r="K564">
        <f t="shared" si="30"/>
        <v>1.4982219999999939</v>
      </c>
    </row>
    <row r="565" spans="2:11" x14ac:dyDescent="0.25">
      <c r="B565" s="1">
        <v>45876</v>
      </c>
      <c r="C565" t="s">
        <v>71</v>
      </c>
      <c r="E565" t="s">
        <v>63</v>
      </c>
      <c r="F565" t="s">
        <v>90</v>
      </c>
      <c r="G565" s="2">
        <v>4.0000000000000001E-3</v>
      </c>
      <c r="H565">
        <f t="shared" si="31"/>
        <v>-0.72882400000000003</v>
      </c>
      <c r="I565">
        <v>41</v>
      </c>
      <c r="J565">
        <f t="shared" si="29"/>
        <v>-29.881784</v>
      </c>
      <c r="K565">
        <f t="shared" si="30"/>
        <v>0</v>
      </c>
    </row>
    <row r="566" spans="2:11" x14ac:dyDescent="0.25">
      <c r="B566" s="1">
        <v>45876</v>
      </c>
      <c r="C566" t="s">
        <v>71</v>
      </c>
      <c r="D566" t="s">
        <v>67</v>
      </c>
      <c r="E566">
        <v>1</v>
      </c>
      <c r="F566" t="s">
        <v>90</v>
      </c>
      <c r="G566" s="2">
        <v>7.0000000000000001E-3</v>
      </c>
      <c r="H566">
        <f t="shared" si="31"/>
        <v>-0.56481700000000001</v>
      </c>
      <c r="I566">
        <v>1</v>
      </c>
      <c r="J566">
        <f t="shared" si="29"/>
        <v>-0.56481700000000001</v>
      </c>
      <c r="K566">
        <f t="shared" si="30"/>
        <v>0</v>
      </c>
    </row>
    <row r="567" spans="2:11" x14ac:dyDescent="0.25">
      <c r="B567" s="1">
        <v>45876</v>
      </c>
      <c r="C567" t="s">
        <v>71</v>
      </c>
      <c r="D567" t="s">
        <v>67</v>
      </c>
      <c r="E567">
        <v>2</v>
      </c>
      <c r="F567" t="s">
        <v>90</v>
      </c>
      <c r="G567" s="2">
        <v>0.05</v>
      </c>
      <c r="H567">
        <f t="shared" si="31"/>
        <v>1.7859499999999999</v>
      </c>
      <c r="I567">
        <v>1</v>
      </c>
      <c r="J567">
        <f t="shared" si="29"/>
        <v>1.7859499999999999</v>
      </c>
      <c r="K567">
        <f t="shared" si="30"/>
        <v>1.7859499999999999</v>
      </c>
    </row>
    <row r="568" spans="2:11" x14ac:dyDescent="0.25">
      <c r="B568" s="1">
        <v>45876</v>
      </c>
      <c r="C568" t="s">
        <v>71</v>
      </c>
      <c r="D568" t="s">
        <v>67</v>
      </c>
      <c r="E568">
        <v>3</v>
      </c>
      <c r="F568" t="s">
        <v>90</v>
      </c>
      <c r="G568" s="2">
        <v>1.9E-2</v>
      </c>
      <c r="H568">
        <f t="shared" si="31"/>
        <v>9.1210999999999931E-2</v>
      </c>
      <c r="I568">
        <v>1</v>
      </c>
      <c r="J568">
        <f t="shared" si="29"/>
        <v>9.1210999999999931E-2</v>
      </c>
      <c r="K568">
        <f t="shared" si="30"/>
        <v>9.1210999999999931E-2</v>
      </c>
    </row>
    <row r="569" spans="2:11" x14ac:dyDescent="0.25">
      <c r="B569" s="1">
        <v>45876</v>
      </c>
      <c r="C569" t="s">
        <v>72</v>
      </c>
      <c r="E569" t="s">
        <v>13</v>
      </c>
      <c r="F569" t="s">
        <v>90</v>
      </c>
      <c r="G569" s="2">
        <v>5.8999999999999997E-2</v>
      </c>
      <c r="H569">
        <f t="shared" si="31"/>
        <v>2.277971</v>
      </c>
      <c r="I569">
        <v>41</v>
      </c>
      <c r="J569">
        <f t="shared" si="29"/>
        <v>93.396811</v>
      </c>
      <c r="K569">
        <f t="shared" si="30"/>
        <v>93.396811</v>
      </c>
    </row>
    <row r="570" spans="2:11" x14ac:dyDescent="0.25">
      <c r="B570" s="1">
        <v>45876</v>
      </c>
      <c r="C570" t="s">
        <v>72</v>
      </c>
      <c r="E570" t="s">
        <v>14</v>
      </c>
      <c r="F570" t="s">
        <v>90</v>
      </c>
      <c r="G570" s="2">
        <v>4.5999999999999999E-2</v>
      </c>
      <c r="H570">
        <f t="shared" si="31"/>
        <v>1.5672739999999996</v>
      </c>
      <c r="I570">
        <v>41</v>
      </c>
      <c r="J570">
        <f t="shared" si="29"/>
        <v>64.258233999999987</v>
      </c>
      <c r="K570">
        <f t="shared" si="30"/>
        <v>64.258233999999987</v>
      </c>
    </row>
    <row r="571" spans="2:11" x14ac:dyDescent="0.25">
      <c r="B571" s="1">
        <v>45876</v>
      </c>
      <c r="C571" t="s">
        <v>72</v>
      </c>
      <c r="E571" t="s">
        <v>15</v>
      </c>
      <c r="F571" t="s">
        <v>90</v>
      </c>
      <c r="G571" s="2">
        <v>2.9000000000000001E-2</v>
      </c>
      <c r="H571">
        <f t="shared" si="31"/>
        <v>0.63790100000000005</v>
      </c>
      <c r="I571">
        <v>41</v>
      </c>
      <c r="J571">
        <f t="shared" si="29"/>
        <v>26.153941000000003</v>
      </c>
      <c r="K571">
        <f t="shared" si="30"/>
        <v>26.153941000000003</v>
      </c>
    </row>
    <row r="572" spans="2:11" x14ac:dyDescent="0.25">
      <c r="B572" s="1">
        <v>45876</v>
      </c>
      <c r="C572" t="s">
        <v>72</v>
      </c>
      <c r="E572" t="s">
        <v>61</v>
      </c>
      <c r="F572" t="s">
        <v>90</v>
      </c>
      <c r="G572" s="2">
        <v>0.10299999999999999</v>
      </c>
      <c r="H572">
        <f t="shared" si="31"/>
        <v>4.6834069999999999</v>
      </c>
      <c r="I572">
        <v>41</v>
      </c>
      <c r="J572">
        <f t="shared" si="29"/>
        <v>192.019687</v>
      </c>
      <c r="K572">
        <f t="shared" si="30"/>
        <v>192.019687</v>
      </c>
    </row>
    <row r="573" spans="2:11" x14ac:dyDescent="0.25">
      <c r="B573" s="1">
        <v>45876</v>
      </c>
      <c r="C573" t="s">
        <v>72</v>
      </c>
      <c r="E573" t="s">
        <v>16</v>
      </c>
      <c r="F573" t="s">
        <v>90</v>
      </c>
      <c r="G573" s="2">
        <v>5.3999999999999999E-2</v>
      </c>
      <c r="H573">
        <f t="shared" si="31"/>
        <v>2.004626</v>
      </c>
      <c r="I573">
        <v>41</v>
      </c>
      <c r="J573">
        <f t="shared" si="29"/>
        <v>82.189666000000003</v>
      </c>
      <c r="K573">
        <f t="shared" si="30"/>
        <v>82.189666000000003</v>
      </c>
    </row>
    <row r="574" spans="2:11" x14ac:dyDescent="0.25">
      <c r="B574" s="1">
        <v>45876</v>
      </c>
      <c r="C574" t="s">
        <v>72</v>
      </c>
      <c r="E574" t="s">
        <v>17</v>
      </c>
      <c r="F574" t="s">
        <v>90</v>
      </c>
      <c r="G574" s="2">
        <v>4.3999999999999997E-2</v>
      </c>
      <c r="H574">
        <f t="shared" si="31"/>
        <v>1.4579359999999999</v>
      </c>
      <c r="I574">
        <v>41</v>
      </c>
      <c r="J574">
        <f t="shared" si="29"/>
        <v>59.775375999999994</v>
      </c>
      <c r="K574">
        <f t="shared" si="30"/>
        <v>59.775375999999994</v>
      </c>
    </row>
    <row r="575" spans="2:11" x14ac:dyDescent="0.25">
      <c r="B575" s="1">
        <v>45876</v>
      </c>
      <c r="C575" t="s">
        <v>72</v>
      </c>
      <c r="E575" t="s">
        <v>12</v>
      </c>
      <c r="F575" t="s">
        <v>90</v>
      </c>
      <c r="G575" s="2">
        <v>3.5000000000000003E-2</v>
      </c>
      <c r="H575">
        <f t="shared" si="31"/>
        <v>0.96591500000000008</v>
      </c>
      <c r="I575">
        <v>41</v>
      </c>
      <c r="J575">
        <f t="shared" si="29"/>
        <v>39.602515000000004</v>
      </c>
      <c r="K575">
        <f t="shared" si="30"/>
        <v>39.602515000000004</v>
      </c>
    </row>
    <row r="576" spans="2:11" x14ac:dyDescent="0.25">
      <c r="B576" s="1">
        <v>45876</v>
      </c>
      <c r="C576" t="s">
        <v>72</v>
      </c>
      <c r="E576" t="s">
        <v>62</v>
      </c>
      <c r="F576" t="s">
        <v>90</v>
      </c>
      <c r="G576" s="2">
        <v>4.2000000000000003E-2</v>
      </c>
      <c r="H576">
        <f t="shared" si="31"/>
        <v>1.3485980000000002</v>
      </c>
      <c r="I576">
        <v>41</v>
      </c>
      <c r="J576">
        <f t="shared" si="29"/>
        <v>55.292518000000008</v>
      </c>
      <c r="K576">
        <f t="shared" si="30"/>
        <v>55.292518000000008</v>
      </c>
    </row>
    <row r="577" spans="2:11" x14ac:dyDescent="0.25">
      <c r="B577" s="1">
        <v>45876</v>
      </c>
      <c r="C577" t="s">
        <v>72</v>
      </c>
      <c r="E577" t="s">
        <v>18</v>
      </c>
      <c r="F577" t="s">
        <v>90</v>
      </c>
      <c r="G577" s="2">
        <v>6.0999999999999999E-2</v>
      </c>
      <c r="H577">
        <f t="shared" si="31"/>
        <v>2.3873090000000001</v>
      </c>
      <c r="I577">
        <v>41</v>
      </c>
      <c r="J577">
        <f t="shared" si="29"/>
        <v>97.879669000000007</v>
      </c>
      <c r="K577">
        <f t="shared" si="30"/>
        <v>97.879669000000007</v>
      </c>
    </row>
    <row r="578" spans="2:11" x14ac:dyDescent="0.25">
      <c r="B578" s="1">
        <v>45876</v>
      </c>
      <c r="C578" t="s">
        <v>72</v>
      </c>
      <c r="E578" t="s">
        <v>19</v>
      </c>
      <c r="F578" t="s">
        <v>90</v>
      </c>
      <c r="G578" s="2">
        <v>7.0000000000000007E-2</v>
      </c>
      <c r="H578">
        <f t="shared" si="31"/>
        <v>2.8793300000000004</v>
      </c>
      <c r="I578">
        <v>41</v>
      </c>
      <c r="J578">
        <f t="shared" si="29"/>
        <v>118.05253000000002</v>
      </c>
      <c r="K578">
        <f t="shared" si="30"/>
        <v>118.05253000000002</v>
      </c>
    </row>
    <row r="579" spans="2:11" x14ac:dyDescent="0.25">
      <c r="B579" s="1">
        <v>45876</v>
      </c>
      <c r="C579" t="s">
        <v>72</v>
      </c>
      <c r="E579" t="s">
        <v>20</v>
      </c>
      <c r="F579" t="s">
        <v>90</v>
      </c>
      <c r="G579" s="2">
        <v>4.4999999999999998E-2</v>
      </c>
      <c r="H579">
        <f t="shared" si="31"/>
        <v>1.512605</v>
      </c>
      <c r="I579">
        <v>41</v>
      </c>
      <c r="J579">
        <f t="shared" si="29"/>
        <v>62.016804999999998</v>
      </c>
      <c r="K579">
        <f t="shared" si="30"/>
        <v>62.016804999999998</v>
      </c>
    </row>
    <row r="580" spans="2:11" x14ac:dyDescent="0.25">
      <c r="B580" s="1">
        <v>45876</v>
      </c>
      <c r="C580" t="s">
        <v>72</v>
      </c>
      <c r="E580" t="s">
        <v>63</v>
      </c>
      <c r="F580" t="s">
        <v>90</v>
      </c>
      <c r="G580" s="2">
        <v>5.2999999999999999E-2</v>
      </c>
      <c r="H580">
        <f t="shared" si="31"/>
        <v>1.9499569999999997</v>
      </c>
      <c r="I580">
        <v>41</v>
      </c>
      <c r="J580">
        <f t="shared" si="29"/>
        <v>79.948236999999992</v>
      </c>
      <c r="K580">
        <f t="shared" si="30"/>
        <v>79.948236999999992</v>
      </c>
    </row>
    <row r="581" spans="2:11" x14ac:dyDescent="0.25">
      <c r="B581" s="1">
        <v>45876</v>
      </c>
      <c r="C581" t="s">
        <v>72</v>
      </c>
      <c r="D581" t="s">
        <v>67</v>
      </c>
      <c r="E581">
        <v>1</v>
      </c>
      <c r="F581" t="s">
        <v>90</v>
      </c>
      <c r="G581" s="2">
        <v>2.3E-2</v>
      </c>
      <c r="H581">
        <f t="shared" si="31"/>
        <v>0.3098869999999998</v>
      </c>
      <c r="I581">
        <v>1</v>
      </c>
      <c r="J581">
        <f t="shared" si="29"/>
        <v>0.3098869999999998</v>
      </c>
      <c r="K581">
        <f t="shared" si="30"/>
        <v>0.3098869999999998</v>
      </c>
    </row>
    <row r="582" spans="2:11" x14ac:dyDescent="0.25">
      <c r="B582" s="1">
        <v>45876</v>
      </c>
      <c r="C582" t="s">
        <v>72</v>
      </c>
      <c r="D582" t="s">
        <v>67</v>
      </c>
      <c r="E582">
        <v>2</v>
      </c>
      <c r="F582" t="s">
        <v>90</v>
      </c>
      <c r="G582" s="2">
        <v>2.5999999999999999E-2</v>
      </c>
      <c r="H582">
        <f t="shared" si="31"/>
        <v>0.47389399999999982</v>
      </c>
      <c r="I582">
        <v>1</v>
      </c>
      <c r="J582">
        <f t="shared" si="29"/>
        <v>0.47389399999999982</v>
      </c>
      <c r="K582">
        <f t="shared" si="30"/>
        <v>0.47389399999999982</v>
      </c>
    </row>
    <row r="583" spans="2:11" x14ac:dyDescent="0.25">
      <c r="B583" s="1">
        <v>45876</v>
      </c>
      <c r="C583" t="s">
        <v>72</v>
      </c>
      <c r="D583" t="s">
        <v>67</v>
      </c>
      <c r="E583">
        <v>3</v>
      </c>
      <c r="F583" t="s">
        <v>90</v>
      </c>
      <c r="G583" s="2">
        <v>0.01</v>
      </c>
      <c r="H583">
        <f t="shared" si="31"/>
        <v>-0.40081</v>
      </c>
      <c r="I583">
        <v>1</v>
      </c>
      <c r="J583">
        <f t="shared" si="29"/>
        <v>-0.40081</v>
      </c>
      <c r="K583">
        <f t="shared" si="30"/>
        <v>0</v>
      </c>
    </row>
    <row r="584" spans="2:11" x14ac:dyDescent="0.25">
      <c r="B584" s="1">
        <v>45874</v>
      </c>
      <c r="C584" t="s">
        <v>12</v>
      </c>
      <c r="E584" t="s">
        <v>13</v>
      </c>
      <c r="F584" t="s">
        <v>90</v>
      </c>
      <c r="G584" s="2">
        <v>8.5000000000000006E-2</v>
      </c>
      <c r="H584">
        <f t="shared" si="31"/>
        <v>3.6993650000000002</v>
      </c>
      <c r="I584">
        <v>41</v>
      </c>
      <c r="J584">
        <f t="shared" si="29"/>
        <v>151.67396500000001</v>
      </c>
      <c r="K584">
        <f t="shared" si="30"/>
        <v>151.67396500000001</v>
      </c>
    </row>
    <row r="585" spans="2:11" x14ac:dyDescent="0.25">
      <c r="B585" s="1">
        <v>45874</v>
      </c>
      <c r="C585" t="s">
        <v>12</v>
      </c>
      <c r="E585" t="s">
        <v>14</v>
      </c>
      <c r="F585" t="s">
        <v>90</v>
      </c>
      <c r="G585" s="2">
        <v>7.4999999999999997E-2</v>
      </c>
      <c r="H585">
        <f t="shared" si="31"/>
        <v>3.1526749999999995</v>
      </c>
      <c r="I585">
        <v>41</v>
      </c>
      <c r="J585">
        <f t="shared" si="29"/>
        <v>129.25967499999999</v>
      </c>
      <c r="K585">
        <f t="shared" si="30"/>
        <v>129.25967499999999</v>
      </c>
    </row>
    <row r="586" spans="2:11" x14ac:dyDescent="0.25">
      <c r="B586" s="1">
        <v>45874</v>
      </c>
      <c r="C586" t="s">
        <v>12</v>
      </c>
      <c r="E586" t="s">
        <v>15</v>
      </c>
      <c r="F586" t="s">
        <v>90</v>
      </c>
      <c r="G586" s="2">
        <v>6.6000000000000003E-2</v>
      </c>
      <c r="H586">
        <f t="shared" si="31"/>
        <v>2.6606540000000001</v>
      </c>
      <c r="I586">
        <v>41</v>
      </c>
      <c r="J586">
        <f t="shared" si="29"/>
        <v>109.086814</v>
      </c>
      <c r="K586">
        <f t="shared" si="30"/>
        <v>109.086814</v>
      </c>
    </row>
    <row r="587" spans="2:11" x14ac:dyDescent="0.25">
      <c r="B587" s="1">
        <v>45874</v>
      </c>
      <c r="C587" t="s">
        <v>12</v>
      </c>
      <c r="E587" t="s">
        <v>16</v>
      </c>
      <c r="F587" t="s">
        <v>90</v>
      </c>
      <c r="G587" s="2">
        <v>1.0999999999999999E-2</v>
      </c>
      <c r="H587">
        <f t="shared" si="31"/>
        <v>-0.34614100000000003</v>
      </c>
      <c r="I587">
        <v>41</v>
      </c>
      <c r="J587">
        <f t="shared" si="29"/>
        <v>-14.191781000000001</v>
      </c>
      <c r="K587">
        <f t="shared" si="30"/>
        <v>0</v>
      </c>
    </row>
    <row r="588" spans="2:11" x14ac:dyDescent="0.25">
      <c r="B588" s="1">
        <v>45874</v>
      </c>
      <c r="C588" t="s">
        <v>12</v>
      </c>
      <c r="E588" t="s">
        <v>17</v>
      </c>
      <c r="F588" t="s">
        <v>90</v>
      </c>
      <c r="G588" s="2">
        <v>2.3E-2</v>
      </c>
      <c r="H588">
        <f t="shared" si="31"/>
        <v>0.3098869999999998</v>
      </c>
      <c r="I588">
        <v>41</v>
      </c>
      <c r="J588">
        <f t="shared" si="29"/>
        <v>12.705366999999992</v>
      </c>
      <c r="K588">
        <f t="shared" si="30"/>
        <v>12.705366999999992</v>
      </c>
    </row>
    <row r="589" spans="2:11" x14ac:dyDescent="0.25">
      <c r="B589" s="1">
        <v>45874</v>
      </c>
      <c r="C589" t="s">
        <v>12</v>
      </c>
      <c r="E589" t="s">
        <v>12</v>
      </c>
      <c r="F589" t="s">
        <v>90</v>
      </c>
      <c r="G589" s="2">
        <v>1E-3</v>
      </c>
      <c r="H589">
        <f t="shared" si="31"/>
        <v>-0.89283100000000004</v>
      </c>
      <c r="I589">
        <v>41</v>
      </c>
      <c r="J589">
        <f t="shared" si="29"/>
        <v>-36.606071</v>
      </c>
      <c r="K589">
        <f t="shared" si="30"/>
        <v>0</v>
      </c>
    </row>
    <row r="590" spans="2:11" x14ac:dyDescent="0.25">
      <c r="B590" s="1">
        <v>45874</v>
      </c>
      <c r="C590" t="s">
        <v>12</v>
      </c>
      <c r="E590" t="s">
        <v>18</v>
      </c>
      <c r="F590" t="s">
        <v>90</v>
      </c>
      <c r="G590" s="2">
        <v>3.3000000000000002E-2</v>
      </c>
      <c r="H590">
        <f t="shared" si="31"/>
        <v>0.85657699999999992</v>
      </c>
      <c r="I590">
        <v>41</v>
      </c>
      <c r="J590">
        <f t="shared" si="29"/>
        <v>35.119656999999997</v>
      </c>
      <c r="K590">
        <f t="shared" si="30"/>
        <v>35.119656999999997</v>
      </c>
    </row>
    <row r="591" spans="2:11" x14ac:dyDescent="0.25">
      <c r="B591" s="1">
        <v>45874</v>
      </c>
      <c r="C591" t="s">
        <v>12</v>
      </c>
      <c r="E591" t="s">
        <v>19</v>
      </c>
      <c r="F591" t="s">
        <v>90</v>
      </c>
      <c r="G591" s="2">
        <v>2.1000000000000001E-2</v>
      </c>
      <c r="H591">
        <f t="shared" si="31"/>
        <v>0.20054900000000009</v>
      </c>
      <c r="I591">
        <v>41</v>
      </c>
      <c r="J591">
        <f t="shared" si="29"/>
        <v>8.2225090000000041</v>
      </c>
      <c r="K591">
        <f t="shared" si="30"/>
        <v>8.2225090000000041</v>
      </c>
    </row>
    <row r="592" spans="2:11" x14ac:dyDescent="0.25">
      <c r="B592" s="1">
        <v>45874</v>
      </c>
      <c r="C592" t="s">
        <v>12</v>
      </c>
      <c r="E592" t="s">
        <v>20</v>
      </c>
      <c r="F592" t="s">
        <v>90</v>
      </c>
      <c r="G592" s="2">
        <v>8.9999999999999993E-3</v>
      </c>
      <c r="H592">
        <f t="shared" si="31"/>
        <v>-0.45547900000000008</v>
      </c>
      <c r="I592">
        <v>41</v>
      </c>
      <c r="J592">
        <f t="shared" si="29"/>
        <v>-18.674639000000003</v>
      </c>
      <c r="K592">
        <f t="shared" si="30"/>
        <v>0</v>
      </c>
    </row>
    <row r="593" spans="2:11" x14ac:dyDescent="0.25">
      <c r="B593" s="1">
        <v>45874</v>
      </c>
      <c r="C593" t="s">
        <v>12</v>
      </c>
      <c r="E593" t="s">
        <v>21</v>
      </c>
      <c r="F593" t="s">
        <v>90</v>
      </c>
      <c r="G593" s="2">
        <v>2.1000000000000001E-2</v>
      </c>
      <c r="H593">
        <f t="shared" si="31"/>
        <v>0.20054900000000009</v>
      </c>
      <c r="I593">
        <v>41</v>
      </c>
      <c r="J593">
        <f t="shared" si="29"/>
        <v>8.2225090000000041</v>
      </c>
      <c r="K593">
        <f t="shared" si="30"/>
        <v>8.2225090000000041</v>
      </c>
    </row>
    <row r="594" spans="2:11" x14ac:dyDescent="0.25">
      <c r="B594" s="1">
        <v>45874</v>
      </c>
      <c r="C594" t="s">
        <v>12</v>
      </c>
      <c r="E594" t="s">
        <v>22</v>
      </c>
      <c r="F594" t="s">
        <v>90</v>
      </c>
      <c r="G594" s="2">
        <v>2.1000000000000001E-2</v>
      </c>
      <c r="H594">
        <f t="shared" si="31"/>
        <v>0.20054900000000009</v>
      </c>
      <c r="I594">
        <v>41</v>
      </c>
      <c r="J594">
        <f t="shared" si="29"/>
        <v>8.2225090000000041</v>
      </c>
      <c r="K594">
        <f t="shared" si="30"/>
        <v>8.2225090000000041</v>
      </c>
    </row>
    <row r="595" spans="2:11" x14ac:dyDescent="0.25">
      <c r="B595" s="1">
        <v>45874</v>
      </c>
      <c r="C595" t="s">
        <v>12</v>
      </c>
      <c r="E595" t="s">
        <v>23</v>
      </c>
      <c r="F595" t="s">
        <v>90</v>
      </c>
      <c r="G595" s="2">
        <v>3.2000000000000001E-2</v>
      </c>
      <c r="H595">
        <f t="shared" si="31"/>
        <v>0.80190799999999984</v>
      </c>
      <c r="I595">
        <v>41</v>
      </c>
      <c r="J595">
        <f t="shared" si="29"/>
        <v>32.878227999999993</v>
      </c>
      <c r="K595">
        <f t="shared" si="30"/>
        <v>32.878227999999993</v>
      </c>
    </row>
    <row r="596" spans="2:11" x14ac:dyDescent="0.25">
      <c r="B596" s="1">
        <v>45874</v>
      </c>
      <c r="C596" t="s">
        <v>12</v>
      </c>
      <c r="E596" t="s">
        <v>24</v>
      </c>
      <c r="F596" t="s">
        <v>90</v>
      </c>
      <c r="G596" s="2">
        <v>2.3E-2</v>
      </c>
      <c r="H596">
        <f t="shared" si="31"/>
        <v>0.3098869999999998</v>
      </c>
      <c r="I596">
        <v>41</v>
      </c>
      <c r="J596">
        <f t="shared" si="29"/>
        <v>12.705366999999992</v>
      </c>
      <c r="K596">
        <f t="shared" si="30"/>
        <v>12.705366999999992</v>
      </c>
    </row>
    <row r="597" spans="2:11" x14ac:dyDescent="0.25">
      <c r="B597" s="1">
        <v>45874</v>
      </c>
      <c r="C597" t="s">
        <v>12</v>
      </c>
      <c r="E597" t="s">
        <v>25</v>
      </c>
      <c r="F597" t="s">
        <v>90</v>
      </c>
      <c r="G597" s="2">
        <v>0</v>
      </c>
      <c r="H597">
        <f t="shared" si="31"/>
        <v>-0.94750000000000001</v>
      </c>
      <c r="I597">
        <v>41</v>
      </c>
      <c r="J597">
        <f t="shared" si="29"/>
        <v>-38.847500000000004</v>
      </c>
      <c r="K597">
        <f t="shared" si="30"/>
        <v>0</v>
      </c>
    </row>
    <row r="598" spans="2:11" x14ac:dyDescent="0.25">
      <c r="B598" s="1">
        <v>45874</v>
      </c>
      <c r="C598" t="s">
        <v>12</v>
      </c>
      <c r="E598" t="s">
        <v>26</v>
      </c>
      <c r="F598" t="s">
        <v>90</v>
      </c>
      <c r="G598" s="2">
        <v>0.02</v>
      </c>
      <c r="H598">
        <f t="shared" si="31"/>
        <v>0.14588000000000001</v>
      </c>
      <c r="I598">
        <v>41</v>
      </c>
      <c r="J598">
        <f t="shared" si="29"/>
        <v>5.9810800000000004</v>
      </c>
      <c r="K598">
        <f t="shared" si="30"/>
        <v>5.9810800000000004</v>
      </c>
    </row>
    <row r="599" spans="2:11" x14ac:dyDescent="0.25">
      <c r="B599" s="1">
        <v>45874</v>
      </c>
      <c r="C599" t="s">
        <v>12</v>
      </c>
      <c r="E599" t="s">
        <v>27</v>
      </c>
      <c r="F599" t="s">
        <v>90</v>
      </c>
      <c r="G599" s="2">
        <v>1.2999999999999999E-2</v>
      </c>
      <c r="H599">
        <f t="shared" si="31"/>
        <v>-0.2368030000000001</v>
      </c>
      <c r="I599">
        <v>41</v>
      </c>
      <c r="J599">
        <f t="shared" si="29"/>
        <v>-9.708923000000004</v>
      </c>
      <c r="K599">
        <f t="shared" si="30"/>
        <v>0</v>
      </c>
    </row>
    <row r="600" spans="2:11" x14ac:dyDescent="0.25">
      <c r="B600" s="1">
        <v>45874</v>
      </c>
      <c r="C600" t="s">
        <v>12</v>
      </c>
      <c r="E600" t="s">
        <v>28</v>
      </c>
      <c r="F600" t="s">
        <v>90</v>
      </c>
      <c r="G600" s="2">
        <v>0</v>
      </c>
      <c r="H600">
        <f t="shared" si="31"/>
        <v>-0.94750000000000001</v>
      </c>
      <c r="I600">
        <v>41</v>
      </c>
      <c r="J600">
        <f t="shared" si="29"/>
        <v>-38.847500000000004</v>
      </c>
      <c r="K600">
        <f t="shared" si="30"/>
        <v>0</v>
      </c>
    </row>
    <row r="601" spans="2:11" x14ac:dyDescent="0.25">
      <c r="B601" s="1">
        <v>45874</v>
      </c>
      <c r="C601" t="s">
        <v>12</v>
      </c>
      <c r="E601" t="s">
        <v>29</v>
      </c>
      <c r="F601" t="s">
        <v>90</v>
      </c>
      <c r="G601" s="2">
        <v>2E-3</v>
      </c>
      <c r="H601">
        <f t="shared" si="31"/>
        <v>-0.83816200000000007</v>
      </c>
      <c r="I601">
        <v>41</v>
      </c>
      <c r="J601">
        <f t="shared" si="29"/>
        <v>-34.364642000000003</v>
      </c>
      <c r="K601">
        <f t="shared" si="30"/>
        <v>0</v>
      </c>
    </row>
    <row r="602" spans="2:11" x14ac:dyDescent="0.25">
      <c r="B602" s="1">
        <v>45874</v>
      </c>
      <c r="C602" t="s">
        <v>30</v>
      </c>
      <c r="E602" t="s">
        <v>13</v>
      </c>
      <c r="F602" t="s">
        <v>90</v>
      </c>
      <c r="G602" s="2">
        <v>8.9999999999999993E-3</v>
      </c>
      <c r="H602">
        <f t="shared" si="31"/>
        <v>-0.45547900000000008</v>
      </c>
      <c r="I602">
        <v>41</v>
      </c>
      <c r="J602">
        <f t="shared" si="29"/>
        <v>-18.674639000000003</v>
      </c>
      <c r="K602">
        <f t="shared" si="30"/>
        <v>0</v>
      </c>
    </row>
    <row r="603" spans="2:11" x14ac:dyDescent="0.25">
      <c r="B603" s="1">
        <v>45874</v>
      </c>
      <c r="C603" t="s">
        <v>30</v>
      </c>
      <c r="E603" t="s">
        <v>14</v>
      </c>
      <c r="F603" t="s">
        <v>90</v>
      </c>
      <c r="G603" s="2">
        <v>4.1000000000000002E-2</v>
      </c>
      <c r="H603">
        <f t="shared" si="31"/>
        <v>1.2939290000000001</v>
      </c>
      <c r="I603">
        <v>41</v>
      </c>
      <c r="J603">
        <f t="shared" ref="J603:J666" si="32">H603*I603</f>
        <v>53.051089000000005</v>
      </c>
      <c r="K603">
        <f t="shared" ref="K603:K666" si="33">MAX(J603,0)</f>
        <v>53.051089000000005</v>
      </c>
    </row>
    <row r="604" spans="2:11" x14ac:dyDescent="0.25">
      <c r="B604" s="1">
        <v>45874</v>
      </c>
      <c r="C604" t="s">
        <v>30</v>
      </c>
      <c r="E604" t="s">
        <v>15</v>
      </c>
      <c r="F604" t="s">
        <v>90</v>
      </c>
      <c r="G604" s="2">
        <v>4.2000000000000003E-2</v>
      </c>
      <c r="H604">
        <f t="shared" ref="H604:H667" si="34">(54.669*G604)-0.9475</f>
        <v>1.3485980000000002</v>
      </c>
      <c r="I604">
        <v>41</v>
      </c>
      <c r="J604">
        <f t="shared" si="32"/>
        <v>55.292518000000008</v>
      </c>
      <c r="K604">
        <f t="shared" si="33"/>
        <v>55.292518000000008</v>
      </c>
    </row>
    <row r="605" spans="2:11" x14ac:dyDescent="0.25">
      <c r="B605" s="1">
        <v>45874</v>
      </c>
      <c r="C605" t="s">
        <v>30</v>
      </c>
      <c r="E605" t="s">
        <v>16</v>
      </c>
      <c r="F605" t="s">
        <v>90</v>
      </c>
      <c r="G605" s="2">
        <v>2.5000000000000001E-2</v>
      </c>
      <c r="H605">
        <f t="shared" si="34"/>
        <v>0.41922499999999996</v>
      </c>
      <c r="I605">
        <v>41</v>
      </c>
      <c r="J605">
        <f t="shared" si="32"/>
        <v>17.188224999999999</v>
      </c>
      <c r="K605">
        <f t="shared" si="33"/>
        <v>17.188224999999999</v>
      </c>
    </row>
    <row r="606" spans="2:11" x14ac:dyDescent="0.25">
      <c r="B606" s="1">
        <v>45874</v>
      </c>
      <c r="C606" t="s">
        <v>30</v>
      </c>
      <c r="E606" t="s">
        <v>17</v>
      </c>
      <c r="F606" t="s">
        <v>90</v>
      </c>
      <c r="G606" s="2">
        <v>2.4E-2</v>
      </c>
      <c r="H606">
        <f t="shared" si="34"/>
        <v>0.36455599999999988</v>
      </c>
      <c r="I606">
        <v>41</v>
      </c>
      <c r="J606">
        <f t="shared" si="32"/>
        <v>14.946795999999996</v>
      </c>
      <c r="K606">
        <f t="shared" si="33"/>
        <v>14.946795999999996</v>
      </c>
    </row>
    <row r="607" spans="2:11" x14ac:dyDescent="0.25">
      <c r="B607" s="1">
        <v>45874</v>
      </c>
      <c r="C607" t="s">
        <v>30</v>
      </c>
      <c r="E607" t="s">
        <v>12</v>
      </c>
      <c r="F607" t="s">
        <v>90</v>
      </c>
      <c r="G607" s="2">
        <v>0.06</v>
      </c>
      <c r="H607">
        <f t="shared" si="34"/>
        <v>2.3326399999999996</v>
      </c>
      <c r="I607">
        <v>41</v>
      </c>
      <c r="J607">
        <f t="shared" si="32"/>
        <v>95.638239999999982</v>
      </c>
      <c r="K607">
        <f t="shared" si="33"/>
        <v>95.638239999999982</v>
      </c>
    </row>
    <row r="608" spans="2:11" x14ac:dyDescent="0.25">
      <c r="B608" s="1">
        <v>45874</v>
      </c>
      <c r="C608" t="s">
        <v>30</v>
      </c>
      <c r="E608" t="s">
        <v>18</v>
      </c>
      <c r="F608" t="s">
        <v>90</v>
      </c>
      <c r="G608" s="2">
        <v>7.0000000000000001E-3</v>
      </c>
      <c r="H608">
        <f t="shared" si="34"/>
        <v>-0.56481700000000001</v>
      </c>
      <c r="I608">
        <v>41</v>
      </c>
      <c r="J608">
        <f t="shared" si="32"/>
        <v>-23.157496999999999</v>
      </c>
      <c r="K608">
        <f t="shared" si="33"/>
        <v>0</v>
      </c>
    </row>
    <row r="609" spans="2:11" x14ac:dyDescent="0.25">
      <c r="B609" s="1">
        <v>45874</v>
      </c>
      <c r="C609" t="s">
        <v>30</v>
      </c>
      <c r="E609" t="s">
        <v>19</v>
      </c>
      <c r="F609" t="s">
        <v>90</v>
      </c>
      <c r="G609" s="2">
        <v>0.01</v>
      </c>
      <c r="H609">
        <f t="shared" si="34"/>
        <v>-0.40081</v>
      </c>
      <c r="I609">
        <v>41</v>
      </c>
      <c r="J609">
        <f t="shared" si="32"/>
        <v>-16.433209999999999</v>
      </c>
      <c r="K609">
        <f t="shared" si="33"/>
        <v>0</v>
      </c>
    </row>
    <row r="610" spans="2:11" x14ac:dyDescent="0.25">
      <c r="B610" s="1">
        <v>45874</v>
      </c>
      <c r="C610" t="s">
        <v>30</v>
      </c>
      <c r="E610" t="s">
        <v>20</v>
      </c>
      <c r="F610" t="s">
        <v>90</v>
      </c>
      <c r="G610" s="2">
        <v>2.1000000000000001E-2</v>
      </c>
      <c r="H610">
        <f t="shared" si="34"/>
        <v>0.20054900000000009</v>
      </c>
      <c r="I610">
        <v>41</v>
      </c>
      <c r="J610">
        <f t="shared" si="32"/>
        <v>8.2225090000000041</v>
      </c>
      <c r="K610">
        <f t="shared" si="33"/>
        <v>8.2225090000000041</v>
      </c>
    </row>
    <row r="611" spans="2:11" x14ac:dyDescent="0.25">
      <c r="B611" s="1">
        <v>45874</v>
      </c>
      <c r="C611" t="s">
        <v>30</v>
      </c>
      <c r="E611" t="s">
        <v>21</v>
      </c>
      <c r="F611" t="s">
        <v>90</v>
      </c>
      <c r="G611" s="2">
        <v>1.4999999999999999E-2</v>
      </c>
      <c r="H611">
        <f t="shared" si="34"/>
        <v>-0.12746500000000005</v>
      </c>
      <c r="I611">
        <v>41</v>
      </c>
      <c r="J611">
        <f t="shared" si="32"/>
        <v>-5.226065000000002</v>
      </c>
      <c r="K611">
        <f t="shared" si="33"/>
        <v>0</v>
      </c>
    </row>
    <row r="612" spans="2:11" x14ac:dyDescent="0.25">
      <c r="B612" s="1">
        <v>45874</v>
      </c>
      <c r="C612" t="s">
        <v>30</v>
      </c>
      <c r="E612" t="s">
        <v>22</v>
      </c>
      <c r="F612" t="s">
        <v>90</v>
      </c>
      <c r="G612" s="2">
        <v>1.6E-2</v>
      </c>
      <c r="H612">
        <f t="shared" si="34"/>
        <v>-7.2796000000000083E-2</v>
      </c>
      <c r="I612">
        <v>41</v>
      </c>
      <c r="J612">
        <f t="shared" si="32"/>
        <v>-2.9846360000000036</v>
      </c>
      <c r="K612">
        <f t="shared" si="33"/>
        <v>0</v>
      </c>
    </row>
    <row r="613" spans="2:11" x14ac:dyDescent="0.25">
      <c r="B613" s="1">
        <v>45874</v>
      </c>
      <c r="C613" t="s">
        <v>30</v>
      </c>
      <c r="E613" t="s">
        <v>23</v>
      </c>
      <c r="F613" t="s">
        <v>90</v>
      </c>
      <c r="G613" s="2">
        <v>1.6E-2</v>
      </c>
      <c r="H613">
        <f t="shared" si="34"/>
        <v>-7.2796000000000083E-2</v>
      </c>
      <c r="I613">
        <v>41</v>
      </c>
      <c r="J613">
        <f t="shared" si="32"/>
        <v>-2.9846360000000036</v>
      </c>
      <c r="K613">
        <f t="shared" si="33"/>
        <v>0</v>
      </c>
    </row>
    <row r="614" spans="2:11" x14ac:dyDescent="0.25">
      <c r="B614" s="1">
        <v>45874</v>
      </c>
      <c r="C614" t="s">
        <v>30</v>
      </c>
      <c r="E614" t="s">
        <v>24</v>
      </c>
      <c r="F614" t="s">
        <v>90</v>
      </c>
      <c r="G614" s="2">
        <v>8.9999999999999993E-3</v>
      </c>
      <c r="H614">
        <f t="shared" si="34"/>
        <v>-0.45547900000000008</v>
      </c>
      <c r="I614">
        <v>41</v>
      </c>
      <c r="J614">
        <f t="shared" si="32"/>
        <v>-18.674639000000003</v>
      </c>
      <c r="K614">
        <f t="shared" si="33"/>
        <v>0</v>
      </c>
    </row>
    <row r="615" spans="2:11" x14ac:dyDescent="0.25">
      <c r="B615" s="1">
        <v>45874</v>
      </c>
      <c r="C615" t="s">
        <v>30</v>
      </c>
      <c r="E615" t="s">
        <v>25</v>
      </c>
      <c r="F615" t="s">
        <v>90</v>
      </c>
      <c r="G615" s="2">
        <v>1.4999999999999999E-2</v>
      </c>
      <c r="H615">
        <f t="shared" si="34"/>
        <v>-0.12746500000000005</v>
      </c>
      <c r="I615">
        <v>41</v>
      </c>
      <c r="J615">
        <f t="shared" si="32"/>
        <v>-5.226065000000002</v>
      </c>
      <c r="K615">
        <f t="shared" si="33"/>
        <v>0</v>
      </c>
    </row>
    <row r="616" spans="2:11" x14ac:dyDescent="0.25">
      <c r="B616" s="1">
        <v>45874</v>
      </c>
      <c r="C616" t="s">
        <v>30</v>
      </c>
      <c r="E616" t="s">
        <v>26</v>
      </c>
      <c r="F616" t="s">
        <v>90</v>
      </c>
      <c r="G616" s="2">
        <v>8.9999999999999993E-3</v>
      </c>
      <c r="H616">
        <f t="shared" si="34"/>
        <v>-0.45547900000000008</v>
      </c>
      <c r="I616">
        <v>41</v>
      </c>
      <c r="J616">
        <f t="shared" si="32"/>
        <v>-18.674639000000003</v>
      </c>
      <c r="K616">
        <f t="shared" si="33"/>
        <v>0</v>
      </c>
    </row>
    <row r="617" spans="2:11" x14ac:dyDescent="0.25">
      <c r="B617" s="1">
        <v>45874</v>
      </c>
      <c r="C617" t="s">
        <v>30</v>
      </c>
      <c r="E617" t="s">
        <v>27</v>
      </c>
      <c r="F617" t="s">
        <v>90</v>
      </c>
      <c r="G617" s="2">
        <v>6.0999999999999999E-2</v>
      </c>
      <c r="H617">
        <f t="shared" si="34"/>
        <v>2.3873090000000001</v>
      </c>
      <c r="I617">
        <v>41</v>
      </c>
      <c r="J617">
        <f t="shared" si="32"/>
        <v>97.879669000000007</v>
      </c>
      <c r="K617">
        <f t="shared" si="33"/>
        <v>97.879669000000007</v>
      </c>
    </row>
    <row r="618" spans="2:11" x14ac:dyDescent="0.25">
      <c r="B618" s="1">
        <v>45874</v>
      </c>
      <c r="C618" t="s">
        <v>30</v>
      </c>
      <c r="E618" t="s">
        <v>28</v>
      </c>
      <c r="F618" t="s">
        <v>90</v>
      </c>
      <c r="G618" s="2">
        <v>4.8000000000000001E-2</v>
      </c>
      <c r="H618">
        <f t="shared" si="34"/>
        <v>1.6766119999999998</v>
      </c>
      <c r="I618">
        <v>41</v>
      </c>
      <c r="J618">
        <f t="shared" si="32"/>
        <v>68.741091999999995</v>
      </c>
      <c r="K618">
        <f t="shared" si="33"/>
        <v>68.741091999999995</v>
      </c>
    </row>
    <row r="619" spans="2:11" x14ac:dyDescent="0.25">
      <c r="B619" s="1">
        <v>45874</v>
      </c>
      <c r="C619" t="s">
        <v>30</v>
      </c>
      <c r="E619" t="s">
        <v>29</v>
      </c>
      <c r="F619" t="s">
        <v>90</v>
      </c>
      <c r="G619" s="2">
        <v>5.8999999999999997E-2</v>
      </c>
      <c r="H619">
        <f t="shared" si="34"/>
        <v>2.277971</v>
      </c>
      <c r="I619">
        <v>41</v>
      </c>
      <c r="J619">
        <f t="shared" si="32"/>
        <v>93.396811</v>
      </c>
      <c r="K619">
        <f t="shared" si="33"/>
        <v>93.396811</v>
      </c>
    </row>
    <row r="620" spans="2:11" x14ac:dyDescent="0.25">
      <c r="B620" s="1">
        <v>45913</v>
      </c>
      <c r="C620" t="s">
        <v>68</v>
      </c>
      <c r="E620" t="s">
        <v>13</v>
      </c>
      <c r="F620" t="s">
        <v>90</v>
      </c>
      <c r="G620" s="2">
        <v>8.0000000000000002E-3</v>
      </c>
      <c r="H620">
        <f t="shared" si="34"/>
        <v>-0.51014800000000005</v>
      </c>
      <c r="I620">
        <v>41</v>
      </c>
      <c r="J620">
        <f t="shared" si="32"/>
        <v>-20.916068000000003</v>
      </c>
      <c r="K620">
        <f t="shared" si="33"/>
        <v>0</v>
      </c>
    </row>
    <row r="621" spans="2:11" x14ac:dyDescent="0.25">
      <c r="B621" s="1">
        <v>45913</v>
      </c>
      <c r="C621" t="s">
        <v>68</v>
      </c>
      <c r="E621" t="s">
        <v>14</v>
      </c>
      <c r="F621" t="s">
        <v>90</v>
      </c>
      <c r="G621" s="2">
        <v>5.0000000000000001E-3</v>
      </c>
      <c r="H621">
        <f t="shared" si="34"/>
        <v>-0.67415500000000006</v>
      </c>
      <c r="I621">
        <v>41</v>
      </c>
      <c r="J621">
        <f t="shared" si="32"/>
        <v>-27.640355000000003</v>
      </c>
      <c r="K621">
        <f t="shared" si="33"/>
        <v>0</v>
      </c>
    </row>
    <row r="622" spans="2:11" x14ac:dyDescent="0.25">
      <c r="B622" s="1">
        <v>45913</v>
      </c>
      <c r="C622" t="s">
        <v>68</v>
      </c>
      <c r="E622" t="s">
        <v>15</v>
      </c>
      <c r="F622" t="s">
        <v>90</v>
      </c>
      <c r="G622" s="2">
        <v>0.01</v>
      </c>
      <c r="H622">
        <f t="shared" si="34"/>
        <v>-0.40081</v>
      </c>
      <c r="I622">
        <v>41</v>
      </c>
      <c r="J622">
        <f t="shared" si="32"/>
        <v>-16.433209999999999</v>
      </c>
      <c r="K622">
        <f t="shared" si="33"/>
        <v>0</v>
      </c>
    </row>
    <row r="623" spans="2:11" x14ac:dyDescent="0.25">
      <c r="B623" s="1">
        <v>45913</v>
      </c>
      <c r="C623" t="s">
        <v>68</v>
      </c>
      <c r="E623" t="s">
        <v>61</v>
      </c>
      <c r="F623" t="s">
        <v>90</v>
      </c>
      <c r="G623" s="2">
        <v>0</v>
      </c>
      <c r="H623">
        <f t="shared" si="34"/>
        <v>-0.94750000000000001</v>
      </c>
      <c r="I623">
        <v>41</v>
      </c>
      <c r="J623">
        <f t="shared" si="32"/>
        <v>-38.847500000000004</v>
      </c>
      <c r="K623">
        <f t="shared" si="33"/>
        <v>0</v>
      </c>
    </row>
    <row r="624" spans="2:11" x14ac:dyDescent="0.25">
      <c r="B624" s="1">
        <v>45913</v>
      </c>
      <c r="C624" t="s">
        <v>68</v>
      </c>
      <c r="E624" t="s">
        <v>16</v>
      </c>
      <c r="F624" t="s">
        <v>90</v>
      </c>
      <c r="G624" s="2">
        <v>0</v>
      </c>
      <c r="H624">
        <f t="shared" si="34"/>
        <v>-0.94750000000000001</v>
      </c>
      <c r="I624">
        <v>41</v>
      </c>
      <c r="J624">
        <f t="shared" si="32"/>
        <v>-38.847500000000004</v>
      </c>
      <c r="K624">
        <f t="shared" si="33"/>
        <v>0</v>
      </c>
    </row>
    <row r="625" spans="2:11" x14ac:dyDescent="0.25">
      <c r="B625" s="1">
        <v>45913</v>
      </c>
      <c r="C625" t="s">
        <v>68</v>
      </c>
      <c r="E625" t="s">
        <v>17</v>
      </c>
      <c r="F625" t="s">
        <v>90</v>
      </c>
      <c r="G625" s="2">
        <v>0</v>
      </c>
      <c r="H625">
        <f t="shared" si="34"/>
        <v>-0.94750000000000001</v>
      </c>
      <c r="I625">
        <v>41</v>
      </c>
      <c r="J625">
        <f t="shared" si="32"/>
        <v>-38.847500000000004</v>
      </c>
      <c r="K625">
        <f t="shared" si="33"/>
        <v>0</v>
      </c>
    </row>
    <row r="626" spans="2:11" x14ac:dyDescent="0.25">
      <c r="B626" s="1">
        <v>45913</v>
      </c>
      <c r="C626" t="s">
        <v>68</v>
      </c>
      <c r="E626" t="s">
        <v>12</v>
      </c>
      <c r="F626" t="s">
        <v>90</v>
      </c>
      <c r="G626" s="2">
        <v>4.4999999999999998E-2</v>
      </c>
      <c r="H626">
        <f t="shared" si="34"/>
        <v>1.512605</v>
      </c>
      <c r="I626">
        <v>41</v>
      </c>
      <c r="J626">
        <f t="shared" si="32"/>
        <v>62.016804999999998</v>
      </c>
      <c r="K626">
        <f t="shared" si="33"/>
        <v>62.016804999999998</v>
      </c>
    </row>
    <row r="627" spans="2:11" x14ac:dyDescent="0.25">
      <c r="B627" s="1">
        <v>45913</v>
      </c>
      <c r="C627" t="s">
        <v>68</v>
      </c>
      <c r="E627" t="s">
        <v>62</v>
      </c>
      <c r="F627" t="s">
        <v>90</v>
      </c>
      <c r="G627" s="2">
        <v>8.9999999999999993E-3</v>
      </c>
      <c r="H627">
        <f t="shared" si="34"/>
        <v>-0.45547900000000008</v>
      </c>
      <c r="I627">
        <v>41</v>
      </c>
      <c r="J627">
        <f t="shared" si="32"/>
        <v>-18.674639000000003</v>
      </c>
      <c r="K627">
        <f t="shared" si="33"/>
        <v>0</v>
      </c>
    </row>
    <row r="628" spans="2:11" x14ac:dyDescent="0.25">
      <c r="B628" s="1">
        <v>45913</v>
      </c>
      <c r="C628" t="s">
        <v>68</v>
      </c>
      <c r="E628" t="s">
        <v>18</v>
      </c>
      <c r="F628" t="s">
        <v>90</v>
      </c>
      <c r="G628" s="2">
        <v>6.0000000000000001E-3</v>
      </c>
      <c r="H628">
        <f t="shared" si="34"/>
        <v>-0.61948599999999998</v>
      </c>
      <c r="I628">
        <v>41</v>
      </c>
      <c r="J628">
        <f t="shared" si="32"/>
        <v>-25.398925999999999</v>
      </c>
      <c r="K628">
        <f t="shared" si="33"/>
        <v>0</v>
      </c>
    </row>
    <row r="629" spans="2:11" x14ac:dyDescent="0.25">
      <c r="B629" s="1">
        <v>45913</v>
      </c>
      <c r="C629" t="s">
        <v>68</v>
      </c>
      <c r="E629" t="s">
        <v>19</v>
      </c>
      <c r="F629" t="s">
        <v>90</v>
      </c>
      <c r="G629" s="2">
        <v>1.7000000000000001E-2</v>
      </c>
      <c r="H629">
        <f t="shared" si="34"/>
        <v>-1.8127000000000004E-2</v>
      </c>
      <c r="I629">
        <v>41</v>
      </c>
      <c r="J629">
        <f t="shared" si="32"/>
        <v>-0.74320700000000017</v>
      </c>
      <c r="K629">
        <f t="shared" si="33"/>
        <v>0</v>
      </c>
    </row>
    <row r="630" spans="2:11" x14ac:dyDescent="0.25">
      <c r="B630" s="1">
        <v>45913</v>
      </c>
      <c r="C630" t="s">
        <v>68</v>
      </c>
      <c r="E630" t="s">
        <v>20</v>
      </c>
      <c r="F630" t="s">
        <v>90</v>
      </c>
      <c r="G630" s="2">
        <v>5.6000000000000001E-2</v>
      </c>
      <c r="H630">
        <f t="shared" si="34"/>
        <v>2.1139640000000002</v>
      </c>
      <c r="I630">
        <v>41</v>
      </c>
      <c r="J630">
        <f t="shared" si="32"/>
        <v>86.67252400000001</v>
      </c>
      <c r="K630">
        <f t="shared" si="33"/>
        <v>86.67252400000001</v>
      </c>
    </row>
    <row r="631" spans="2:11" x14ac:dyDescent="0.25">
      <c r="B631" s="1">
        <v>45913</v>
      </c>
      <c r="C631" t="s">
        <v>68</v>
      </c>
      <c r="E631" t="s">
        <v>63</v>
      </c>
      <c r="F631" t="s">
        <v>90</v>
      </c>
      <c r="G631" s="2">
        <v>0.01</v>
      </c>
      <c r="H631">
        <f t="shared" si="34"/>
        <v>-0.40081</v>
      </c>
      <c r="I631">
        <v>41</v>
      </c>
      <c r="J631">
        <f t="shared" si="32"/>
        <v>-16.433209999999999</v>
      </c>
      <c r="K631">
        <f t="shared" si="33"/>
        <v>0</v>
      </c>
    </row>
    <row r="632" spans="2:11" x14ac:dyDescent="0.25">
      <c r="B632" s="1">
        <v>45913</v>
      </c>
      <c r="C632" t="s">
        <v>68</v>
      </c>
      <c r="E632" t="s">
        <v>21</v>
      </c>
      <c r="F632" t="s">
        <v>90</v>
      </c>
      <c r="G632" s="2">
        <v>8.0000000000000002E-3</v>
      </c>
      <c r="H632">
        <f t="shared" si="34"/>
        <v>-0.51014800000000005</v>
      </c>
      <c r="I632">
        <v>41</v>
      </c>
      <c r="J632">
        <f t="shared" si="32"/>
        <v>-20.916068000000003</v>
      </c>
      <c r="K632">
        <f t="shared" si="33"/>
        <v>0</v>
      </c>
    </row>
    <row r="633" spans="2:11" x14ac:dyDescent="0.25">
      <c r="B633" s="1">
        <v>45913</v>
      </c>
      <c r="C633" t="s">
        <v>68</v>
      </c>
      <c r="E633" t="s">
        <v>22</v>
      </c>
      <c r="F633" t="s">
        <v>90</v>
      </c>
      <c r="G633" s="2">
        <v>1.7000000000000001E-2</v>
      </c>
      <c r="H633">
        <f t="shared" si="34"/>
        <v>-1.8127000000000004E-2</v>
      </c>
      <c r="I633">
        <v>41</v>
      </c>
      <c r="J633">
        <f t="shared" si="32"/>
        <v>-0.74320700000000017</v>
      </c>
      <c r="K633">
        <f t="shared" si="33"/>
        <v>0</v>
      </c>
    </row>
    <row r="634" spans="2:11" x14ac:dyDescent="0.25">
      <c r="B634" s="1">
        <v>45913</v>
      </c>
      <c r="C634" t="s">
        <v>68</v>
      </c>
      <c r="E634" t="s">
        <v>23</v>
      </c>
      <c r="F634" t="s">
        <v>90</v>
      </c>
      <c r="G634" s="2">
        <v>3.0000000000000001E-3</v>
      </c>
      <c r="H634">
        <f t="shared" si="34"/>
        <v>-0.78349299999999999</v>
      </c>
      <c r="I634">
        <v>41</v>
      </c>
      <c r="J634">
        <f t="shared" si="32"/>
        <v>-32.123213</v>
      </c>
      <c r="K634">
        <f t="shared" si="33"/>
        <v>0</v>
      </c>
    </row>
    <row r="635" spans="2:11" x14ac:dyDescent="0.25">
      <c r="B635" s="1">
        <v>45913</v>
      </c>
      <c r="C635" t="s">
        <v>68</v>
      </c>
      <c r="E635" t="s">
        <v>64</v>
      </c>
      <c r="F635" t="s">
        <v>90</v>
      </c>
      <c r="G635" s="2">
        <v>1.2E-2</v>
      </c>
      <c r="H635">
        <f t="shared" si="34"/>
        <v>-0.29147200000000006</v>
      </c>
      <c r="I635">
        <v>41</v>
      </c>
      <c r="J635">
        <f t="shared" si="32"/>
        <v>-11.950352000000002</v>
      </c>
      <c r="K635">
        <f t="shared" si="33"/>
        <v>0</v>
      </c>
    </row>
    <row r="636" spans="2:11" x14ac:dyDescent="0.25">
      <c r="B636" s="1">
        <v>45913</v>
      </c>
      <c r="C636" t="s">
        <v>68</v>
      </c>
      <c r="E636" t="s">
        <v>24</v>
      </c>
      <c r="F636" t="s">
        <v>90</v>
      </c>
      <c r="G636" s="2">
        <v>6.0999999999999999E-2</v>
      </c>
      <c r="H636">
        <f t="shared" si="34"/>
        <v>2.3873090000000001</v>
      </c>
      <c r="I636">
        <v>41</v>
      </c>
      <c r="J636">
        <f t="shared" si="32"/>
        <v>97.879669000000007</v>
      </c>
      <c r="K636">
        <f t="shared" si="33"/>
        <v>97.879669000000007</v>
      </c>
    </row>
    <row r="637" spans="2:11" x14ac:dyDescent="0.25">
      <c r="B637" s="1">
        <v>45913</v>
      </c>
      <c r="C637" t="s">
        <v>68</v>
      </c>
      <c r="E637" t="s">
        <v>25</v>
      </c>
      <c r="F637" t="s">
        <v>90</v>
      </c>
      <c r="G637" s="2">
        <v>2.1999999999999999E-2</v>
      </c>
      <c r="H637">
        <f t="shared" si="34"/>
        <v>0.25521799999999994</v>
      </c>
      <c r="I637">
        <v>41</v>
      </c>
      <c r="J637">
        <f t="shared" si="32"/>
        <v>10.463937999999997</v>
      </c>
      <c r="K637">
        <f t="shared" si="33"/>
        <v>10.463937999999997</v>
      </c>
    </row>
    <row r="638" spans="2:11" x14ac:dyDescent="0.25">
      <c r="B638" s="1">
        <v>45913</v>
      </c>
      <c r="C638" t="s">
        <v>68</v>
      </c>
      <c r="E638" t="s">
        <v>26</v>
      </c>
      <c r="F638" t="s">
        <v>90</v>
      </c>
      <c r="G638" s="2">
        <v>1.0999999999999999E-2</v>
      </c>
      <c r="H638">
        <f t="shared" si="34"/>
        <v>-0.34614100000000003</v>
      </c>
      <c r="I638">
        <v>41</v>
      </c>
      <c r="J638">
        <f t="shared" si="32"/>
        <v>-14.191781000000001</v>
      </c>
      <c r="K638">
        <f t="shared" si="33"/>
        <v>0</v>
      </c>
    </row>
    <row r="639" spans="2:11" x14ac:dyDescent="0.25">
      <c r="B639" s="1">
        <v>45913</v>
      </c>
      <c r="C639" t="s">
        <v>68</v>
      </c>
      <c r="E639" t="s">
        <v>65</v>
      </c>
      <c r="F639" t="s">
        <v>90</v>
      </c>
      <c r="G639" s="2">
        <v>3.0000000000000001E-3</v>
      </c>
      <c r="H639">
        <f t="shared" si="34"/>
        <v>-0.78349299999999999</v>
      </c>
      <c r="I639">
        <v>41</v>
      </c>
      <c r="J639">
        <f t="shared" si="32"/>
        <v>-32.123213</v>
      </c>
      <c r="K639">
        <f t="shared" si="33"/>
        <v>0</v>
      </c>
    </row>
    <row r="640" spans="2:11" x14ac:dyDescent="0.25">
      <c r="B640" s="1">
        <v>45913</v>
      </c>
      <c r="C640" t="s">
        <v>68</v>
      </c>
      <c r="E640" t="s">
        <v>27</v>
      </c>
      <c r="F640" t="s">
        <v>90</v>
      </c>
      <c r="G640" s="2">
        <v>1.2999999999999999E-2</v>
      </c>
      <c r="H640">
        <f t="shared" si="34"/>
        <v>-0.2368030000000001</v>
      </c>
      <c r="I640">
        <v>41</v>
      </c>
      <c r="J640">
        <f t="shared" si="32"/>
        <v>-9.708923000000004</v>
      </c>
      <c r="K640">
        <f t="shared" si="33"/>
        <v>0</v>
      </c>
    </row>
    <row r="641" spans="2:11" x14ac:dyDescent="0.25">
      <c r="B641" s="1">
        <v>45913</v>
      </c>
      <c r="C641" t="s">
        <v>68</v>
      </c>
      <c r="E641" t="s">
        <v>28</v>
      </c>
      <c r="F641" t="s">
        <v>90</v>
      </c>
      <c r="G641" s="2">
        <v>6.0000000000000001E-3</v>
      </c>
      <c r="H641">
        <f t="shared" si="34"/>
        <v>-0.61948599999999998</v>
      </c>
      <c r="I641">
        <v>41</v>
      </c>
      <c r="J641">
        <f t="shared" si="32"/>
        <v>-25.398925999999999</v>
      </c>
      <c r="K641">
        <f t="shared" si="33"/>
        <v>0</v>
      </c>
    </row>
    <row r="642" spans="2:11" x14ac:dyDescent="0.25">
      <c r="B642" s="1">
        <v>45913</v>
      </c>
      <c r="C642" t="s">
        <v>68</v>
      </c>
      <c r="E642" t="s">
        <v>29</v>
      </c>
      <c r="F642" t="s">
        <v>90</v>
      </c>
      <c r="G642" s="2">
        <v>3.0000000000000001E-3</v>
      </c>
      <c r="H642">
        <f t="shared" si="34"/>
        <v>-0.78349299999999999</v>
      </c>
      <c r="I642">
        <v>41</v>
      </c>
      <c r="J642">
        <f t="shared" si="32"/>
        <v>-32.123213</v>
      </c>
      <c r="K642">
        <f t="shared" si="33"/>
        <v>0</v>
      </c>
    </row>
    <row r="643" spans="2:11" x14ac:dyDescent="0.25">
      <c r="B643" s="1">
        <v>45913</v>
      </c>
      <c r="C643" t="s">
        <v>68</v>
      </c>
      <c r="E643" t="s">
        <v>66</v>
      </c>
      <c r="F643" t="s">
        <v>90</v>
      </c>
      <c r="G643" s="2">
        <v>1.2999999999999999E-2</v>
      </c>
      <c r="H643">
        <f t="shared" si="34"/>
        <v>-0.2368030000000001</v>
      </c>
      <c r="I643">
        <v>41</v>
      </c>
      <c r="J643">
        <f t="shared" si="32"/>
        <v>-9.708923000000004</v>
      </c>
      <c r="K643">
        <f t="shared" si="33"/>
        <v>0</v>
      </c>
    </row>
    <row r="644" spans="2:11" x14ac:dyDescent="0.25">
      <c r="B644" s="1">
        <v>45913</v>
      </c>
      <c r="C644" t="s">
        <v>68</v>
      </c>
      <c r="D644" t="s">
        <v>67</v>
      </c>
      <c r="E644">
        <v>1</v>
      </c>
      <c r="F644" t="s">
        <v>90</v>
      </c>
      <c r="G644" s="2">
        <v>0.01</v>
      </c>
      <c r="H644">
        <f t="shared" si="34"/>
        <v>-0.40081</v>
      </c>
      <c r="I644">
        <v>1</v>
      </c>
      <c r="J644">
        <f t="shared" si="32"/>
        <v>-0.40081</v>
      </c>
      <c r="K644">
        <f t="shared" si="33"/>
        <v>0</v>
      </c>
    </row>
    <row r="645" spans="2:11" x14ac:dyDescent="0.25">
      <c r="B645" s="1">
        <v>45913</v>
      </c>
      <c r="C645" t="s">
        <v>68</v>
      </c>
      <c r="D645" t="s">
        <v>67</v>
      </c>
      <c r="E645">
        <v>2</v>
      </c>
      <c r="F645" t="s">
        <v>90</v>
      </c>
      <c r="G645" s="2">
        <v>1.7000000000000001E-2</v>
      </c>
      <c r="H645">
        <f t="shared" si="34"/>
        <v>-1.8127000000000004E-2</v>
      </c>
      <c r="I645">
        <v>1</v>
      </c>
      <c r="J645">
        <f t="shared" si="32"/>
        <v>-1.8127000000000004E-2</v>
      </c>
      <c r="K645">
        <f t="shared" si="33"/>
        <v>0</v>
      </c>
    </row>
    <row r="646" spans="2:11" x14ac:dyDescent="0.25">
      <c r="B646" s="1">
        <v>45913</v>
      </c>
      <c r="C646" t="s">
        <v>68</v>
      </c>
      <c r="D646" t="s">
        <v>67</v>
      </c>
      <c r="E646">
        <v>3</v>
      </c>
      <c r="F646" t="s">
        <v>90</v>
      </c>
      <c r="G646" s="2">
        <v>3.9E-2</v>
      </c>
      <c r="H646">
        <f t="shared" si="34"/>
        <v>1.1845909999999999</v>
      </c>
      <c r="I646">
        <v>1</v>
      </c>
      <c r="J646">
        <f t="shared" si="32"/>
        <v>1.1845909999999999</v>
      </c>
      <c r="K646">
        <f t="shared" si="33"/>
        <v>1.1845909999999999</v>
      </c>
    </row>
    <row r="647" spans="2:11" x14ac:dyDescent="0.25">
      <c r="B647" s="1">
        <v>45913</v>
      </c>
      <c r="C647" t="s">
        <v>60</v>
      </c>
      <c r="E647" t="s">
        <v>13</v>
      </c>
      <c r="F647" t="s">
        <v>90</v>
      </c>
      <c r="G647" s="2">
        <v>7.0000000000000001E-3</v>
      </c>
      <c r="H647">
        <f t="shared" si="34"/>
        <v>-0.56481700000000001</v>
      </c>
      <c r="I647">
        <v>41</v>
      </c>
      <c r="J647">
        <f t="shared" si="32"/>
        <v>-23.157496999999999</v>
      </c>
      <c r="K647">
        <f t="shared" si="33"/>
        <v>0</v>
      </c>
    </row>
    <row r="648" spans="2:11" x14ac:dyDescent="0.25">
      <c r="B648" s="1">
        <v>45913</v>
      </c>
      <c r="C648" t="s">
        <v>60</v>
      </c>
      <c r="E648" t="s">
        <v>14</v>
      </c>
      <c r="F648" t="s">
        <v>90</v>
      </c>
      <c r="G648" s="2">
        <v>0.02</v>
      </c>
      <c r="H648">
        <f t="shared" si="34"/>
        <v>0.14588000000000001</v>
      </c>
      <c r="I648">
        <v>41</v>
      </c>
      <c r="J648">
        <f t="shared" si="32"/>
        <v>5.9810800000000004</v>
      </c>
      <c r="K648">
        <f t="shared" si="33"/>
        <v>5.9810800000000004</v>
      </c>
    </row>
    <row r="649" spans="2:11" x14ac:dyDescent="0.25">
      <c r="B649" s="1">
        <v>45913</v>
      </c>
      <c r="C649" t="s">
        <v>60</v>
      </c>
      <c r="E649" t="s">
        <v>15</v>
      </c>
      <c r="F649" t="s">
        <v>90</v>
      </c>
      <c r="G649" s="2">
        <v>1.4999999999999999E-2</v>
      </c>
      <c r="H649">
        <f t="shared" si="34"/>
        <v>-0.12746500000000005</v>
      </c>
      <c r="I649">
        <v>41</v>
      </c>
      <c r="J649">
        <f t="shared" si="32"/>
        <v>-5.226065000000002</v>
      </c>
      <c r="K649">
        <f t="shared" si="33"/>
        <v>0</v>
      </c>
    </row>
    <row r="650" spans="2:11" x14ac:dyDescent="0.25">
      <c r="B650" s="1">
        <v>45913</v>
      </c>
      <c r="C650" t="s">
        <v>60</v>
      </c>
      <c r="E650" t="s">
        <v>61</v>
      </c>
      <c r="F650" t="s">
        <v>90</v>
      </c>
      <c r="G650" s="2">
        <v>1.0999999999999999E-2</v>
      </c>
      <c r="H650">
        <f t="shared" si="34"/>
        <v>-0.34614100000000003</v>
      </c>
      <c r="I650">
        <v>41</v>
      </c>
      <c r="J650">
        <f t="shared" si="32"/>
        <v>-14.191781000000001</v>
      </c>
      <c r="K650">
        <f t="shared" si="33"/>
        <v>0</v>
      </c>
    </row>
    <row r="651" spans="2:11" x14ac:dyDescent="0.25">
      <c r="B651" s="1">
        <v>45913</v>
      </c>
      <c r="C651" t="s">
        <v>60</v>
      </c>
      <c r="E651" t="s">
        <v>16</v>
      </c>
      <c r="F651" t="s">
        <v>90</v>
      </c>
      <c r="G651" s="2">
        <v>4.0000000000000001E-3</v>
      </c>
      <c r="H651">
        <f t="shared" si="34"/>
        <v>-0.72882400000000003</v>
      </c>
      <c r="I651">
        <v>41</v>
      </c>
      <c r="J651">
        <f t="shared" si="32"/>
        <v>-29.881784</v>
      </c>
      <c r="K651">
        <f t="shared" si="33"/>
        <v>0</v>
      </c>
    </row>
    <row r="652" spans="2:11" x14ac:dyDescent="0.25">
      <c r="B652" s="1">
        <v>45913</v>
      </c>
      <c r="C652" t="s">
        <v>60</v>
      </c>
      <c r="E652" t="s">
        <v>17</v>
      </c>
      <c r="F652" t="s">
        <v>90</v>
      </c>
      <c r="G652" s="2">
        <v>5.0000000000000001E-3</v>
      </c>
      <c r="H652">
        <f t="shared" si="34"/>
        <v>-0.67415500000000006</v>
      </c>
      <c r="I652">
        <v>41</v>
      </c>
      <c r="J652">
        <f t="shared" si="32"/>
        <v>-27.640355000000003</v>
      </c>
      <c r="K652">
        <f t="shared" si="33"/>
        <v>0</v>
      </c>
    </row>
    <row r="653" spans="2:11" x14ac:dyDescent="0.25">
      <c r="B653" s="1">
        <v>45913</v>
      </c>
      <c r="C653" t="s">
        <v>60</v>
      </c>
      <c r="E653" t="s">
        <v>12</v>
      </c>
      <c r="F653" t="s">
        <v>90</v>
      </c>
      <c r="G653" s="2">
        <v>1E-3</v>
      </c>
      <c r="H653">
        <f t="shared" si="34"/>
        <v>-0.89283100000000004</v>
      </c>
      <c r="I653">
        <v>41</v>
      </c>
      <c r="J653">
        <f t="shared" si="32"/>
        <v>-36.606071</v>
      </c>
      <c r="K653">
        <f t="shared" si="33"/>
        <v>0</v>
      </c>
    </row>
    <row r="654" spans="2:11" x14ac:dyDescent="0.25">
      <c r="B654" s="1">
        <v>45913</v>
      </c>
      <c r="C654" t="s">
        <v>60</v>
      </c>
      <c r="E654" t="s">
        <v>62</v>
      </c>
      <c r="F654" t="s">
        <v>90</v>
      </c>
      <c r="G654" s="2">
        <v>8.9999999999999993E-3</v>
      </c>
      <c r="H654">
        <f t="shared" si="34"/>
        <v>-0.45547900000000008</v>
      </c>
      <c r="I654">
        <v>41</v>
      </c>
      <c r="J654">
        <f t="shared" si="32"/>
        <v>-18.674639000000003</v>
      </c>
      <c r="K654">
        <f t="shared" si="33"/>
        <v>0</v>
      </c>
    </row>
    <row r="655" spans="2:11" x14ac:dyDescent="0.25">
      <c r="B655" s="1">
        <v>45913</v>
      </c>
      <c r="C655" t="s">
        <v>60</v>
      </c>
      <c r="E655" t="s">
        <v>18</v>
      </c>
      <c r="F655" t="s">
        <v>90</v>
      </c>
      <c r="G655" s="2">
        <v>1E-3</v>
      </c>
      <c r="H655">
        <f t="shared" si="34"/>
        <v>-0.89283100000000004</v>
      </c>
      <c r="I655">
        <v>41</v>
      </c>
      <c r="J655">
        <f t="shared" si="32"/>
        <v>-36.606071</v>
      </c>
      <c r="K655">
        <f t="shared" si="33"/>
        <v>0</v>
      </c>
    </row>
    <row r="656" spans="2:11" x14ac:dyDescent="0.25">
      <c r="B656" s="1">
        <v>45913</v>
      </c>
      <c r="C656" t="s">
        <v>60</v>
      </c>
      <c r="E656" t="s">
        <v>19</v>
      </c>
      <c r="F656" t="s">
        <v>90</v>
      </c>
      <c r="G656" s="2">
        <v>2E-3</v>
      </c>
      <c r="H656">
        <f t="shared" si="34"/>
        <v>-0.83816200000000007</v>
      </c>
      <c r="I656">
        <v>41</v>
      </c>
      <c r="J656">
        <f t="shared" si="32"/>
        <v>-34.364642000000003</v>
      </c>
      <c r="K656">
        <f t="shared" si="33"/>
        <v>0</v>
      </c>
    </row>
    <row r="657" spans="2:11" x14ac:dyDescent="0.25">
      <c r="B657" s="1">
        <v>45913</v>
      </c>
      <c r="C657" t="s">
        <v>60</v>
      </c>
      <c r="E657" t="s">
        <v>20</v>
      </c>
      <c r="F657" t="s">
        <v>90</v>
      </c>
      <c r="G657" s="2">
        <v>0</v>
      </c>
      <c r="H657">
        <f t="shared" si="34"/>
        <v>-0.94750000000000001</v>
      </c>
      <c r="I657">
        <v>41</v>
      </c>
      <c r="J657">
        <f t="shared" si="32"/>
        <v>-38.847500000000004</v>
      </c>
      <c r="K657">
        <f t="shared" si="33"/>
        <v>0</v>
      </c>
    </row>
    <row r="658" spans="2:11" x14ac:dyDescent="0.25">
      <c r="B658" s="1">
        <v>45913</v>
      </c>
      <c r="C658" t="s">
        <v>60</v>
      </c>
      <c r="E658" t="s">
        <v>63</v>
      </c>
      <c r="F658" t="s">
        <v>90</v>
      </c>
      <c r="G658" s="2">
        <v>2E-3</v>
      </c>
      <c r="H658">
        <f t="shared" si="34"/>
        <v>-0.83816200000000007</v>
      </c>
      <c r="I658">
        <v>41</v>
      </c>
      <c r="J658">
        <f t="shared" si="32"/>
        <v>-34.364642000000003</v>
      </c>
      <c r="K658">
        <f t="shared" si="33"/>
        <v>0</v>
      </c>
    </row>
    <row r="659" spans="2:11" x14ac:dyDescent="0.25">
      <c r="B659" s="1">
        <v>45913</v>
      </c>
      <c r="C659" t="s">
        <v>60</v>
      </c>
      <c r="E659" t="s">
        <v>21</v>
      </c>
      <c r="F659" t="s">
        <v>90</v>
      </c>
      <c r="G659" s="2">
        <v>8.0000000000000002E-3</v>
      </c>
      <c r="H659">
        <f t="shared" si="34"/>
        <v>-0.51014800000000005</v>
      </c>
      <c r="I659">
        <v>41</v>
      </c>
      <c r="J659">
        <f t="shared" si="32"/>
        <v>-20.916068000000003</v>
      </c>
      <c r="K659">
        <f t="shared" si="33"/>
        <v>0</v>
      </c>
    </row>
    <row r="660" spans="2:11" x14ac:dyDescent="0.25">
      <c r="B660" s="1">
        <v>45913</v>
      </c>
      <c r="C660" t="s">
        <v>60</v>
      </c>
      <c r="E660" t="s">
        <v>22</v>
      </c>
      <c r="F660" t="s">
        <v>90</v>
      </c>
      <c r="G660" s="2">
        <v>4.9000000000000002E-2</v>
      </c>
      <c r="H660">
        <f t="shared" si="34"/>
        <v>1.7312809999999998</v>
      </c>
      <c r="I660">
        <v>41</v>
      </c>
      <c r="J660">
        <f t="shared" si="32"/>
        <v>70.982520999999991</v>
      </c>
      <c r="K660">
        <f t="shared" si="33"/>
        <v>70.982520999999991</v>
      </c>
    </row>
    <row r="661" spans="2:11" x14ac:dyDescent="0.25">
      <c r="B661" s="1">
        <v>45913</v>
      </c>
      <c r="C661" t="s">
        <v>60</v>
      </c>
      <c r="E661" t="s">
        <v>23</v>
      </c>
      <c r="F661" t="s">
        <v>90</v>
      </c>
      <c r="G661" s="2">
        <v>1.7999999999999999E-2</v>
      </c>
      <c r="H661">
        <f t="shared" si="34"/>
        <v>3.6541999999999852E-2</v>
      </c>
      <c r="I661">
        <v>41</v>
      </c>
      <c r="J661">
        <f t="shared" si="32"/>
        <v>1.4982219999999939</v>
      </c>
      <c r="K661">
        <f t="shared" si="33"/>
        <v>1.4982219999999939</v>
      </c>
    </row>
    <row r="662" spans="2:11" x14ac:dyDescent="0.25">
      <c r="B662" s="1">
        <v>45913</v>
      </c>
      <c r="C662" t="s">
        <v>60</v>
      </c>
      <c r="E662" t="s">
        <v>64</v>
      </c>
      <c r="F662" t="s">
        <v>90</v>
      </c>
      <c r="G662" s="2">
        <v>7.0000000000000001E-3</v>
      </c>
      <c r="H662">
        <f t="shared" si="34"/>
        <v>-0.56481700000000001</v>
      </c>
      <c r="I662">
        <v>41</v>
      </c>
      <c r="J662">
        <f t="shared" si="32"/>
        <v>-23.157496999999999</v>
      </c>
      <c r="K662">
        <f t="shared" si="33"/>
        <v>0</v>
      </c>
    </row>
    <row r="663" spans="2:11" x14ac:dyDescent="0.25">
      <c r="B663" s="1">
        <v>45913</v>
      </c>
      <c r="C663" t="s">
        <v>60</v>
      </c>
      <c r="E663" t="s">
        <v>24</v>
      </c>
      <c r="F663" t="s">
        <v>90</v>
      </c>
      <c r="G663" s="2">
        <v>1.2999999999999999E-2</v>
      </c>
      <c r="H663">
        <f t="shared" si="34"/>
        <v>-0.2368030000000001</v>
      </c>
      <c r="I663">
        <v>41</v>
      </c>
      <c r="J663">
        <f t="shared" si="32"/>
        <v>-9.708923000000004</v>
      </c>
      <c r="K663">
        <f t="shared" si="33"/>
        <v>0</v>
      </c>
    </row>
    <row r="664" spans="2:11" x14ac:dyDescent="0.25">
      <c r="B664" s="1">
        <v>45913</v>
      </c>
      <c r="C664" t="s">
        <v>60</v>
      </c>
      <c r="E664" t="s">
        <v>25</v>
      </c>
      <c r="F664" t="s">
        <v>90</v>
      </c>
      <c r="G664" s="2">
        <v>1.7999999999999999E-2</v>
      </c>
      <c r="H664">
        <f t="shared" si="34"/>
        <v>3.6541999999999852E-2</v>
      </c>
      <c r="I664">
        <v>41</v>
      </c>
      <c r="J664">
        <f t="shared" si="32"/>
        <v>1.4982219999999939</v>
      </c>
      <c r="K664">
        <f t="shared" si="33"/>
        <v>1.4982219999999939</v>
      </c>
    </row>
    <row r="665" spans="2:11" x14ac:dyDescent="0.25">
      <c r="B665" s="1">
        <v>45913</v>
      </c>
      <c r="C665" t="s">
        <v>60</v>
      </c>
      <c r="E665" t="s">
        <v>26</v>
      </c>
      <c r="F665" t="s">
        <v>90</v>
      </c>
      <c r="G665" s="2">
        <v>4.0000000000000001E-3</v>
      </c>
      <c r="H665">
        <f t="shared" si="34"/>
        <v>-0.72882400000000003</v>
      </c>
      <c r="I665">
        <v>41</v>
      </c>
      <c r="J665">
        <f t="shared" si="32"/>
        <v>-29.881784</v>
      </c>
      <c r="K665">
        <f t="shared" si="33"/>
        <v>0</v>
      </c>
    </row>
    <row r="666" spans="2:11" x14ac:dyDescent="0.25">
      <c r="B666" s="1">
        <v>45913</v>
      </c>
      <c r="C666" t="s">
        <v>60</v>
      </c>
      <c r="E666" t="s">
        <v>65</v>
      </c>
      <c r="F666" t="s">
        <v>90</v>
      </c>
      <c r="G666" s="2">
        <v>6.0000000000000001E-3</v>
      </c>
      <c r="H666">
        <f t="shared" si="34"/>
        <v>-0.61948599999999998</v>
      </c>
      <c r="I666">
        <v>41</v>
      </c>
      <c r="J666">
        <f t="shared" si="32"/>
        <v>-25.398925999999999</v>
      </c>
      <c r="K666">
        <f t="shared" si="33"/>
        <v>0</v>
      </c>
    </row>
    <row r="667" spans="2:11" x14ac:dyDescent="0.25">
      <c r="B667" s="1">
        <v>45913</v>
      </c>
      <c r="C667" t="s">
        <v>60</v>
      </c>
      <c r="E667" t="s">
        <v>27</v>
      </c>
      <c r="F667" t="s">
        <v>90</v>
      </c>
      <c r="G667" s="2">
        <v>1E-3</v>
      </c>
      <c r="H667">
        <f t="shared" si="34"/>
        <v>-0.89283100000000004</v>
      </c>
      <c r="I667">
        <v>41</v>
      </c>
      <c r="J667">
        <f t="shared" ref="J667:J727" si="35">H667*I667</f>
        <v>-36.606071</v>
      </c>
      <c r="K667">
        <f t="shared" ref="K667:K727" si="36">MAX(J667,0)</f>
        <v>0</v>
      </c>
    </row>
    <row r="668" spans="2:11" x14ac:dyDescent="0.25">
      <c r="B668" s="1">
        <v>45913</v>
      </c>
      <c r="C668" t="s">
        <v>60</v>
      </c>
      <c r="E668" t="s">
        <v>28</v>
      </c>
      <c r="F668" t="s">
        <v>90</v>
      </c>
      <c r="G668" s="2">
        <v>6.0000000000000001E-3</v>
      </c>
      <c r="H668">
        <f t="shared" ref="H668:H727" si="37">(54.669*G668)-0.9475</f>
        <v>-0.61948599999999998</v>
      </c>
      <c r="I668">
        <v>41</v>
      </c>
      <c r="J668">
        <f t="shared" si="35"/>
        <v>-25.398925999999999</v>
      </c>
      <c r="K668">
        <f t="shared" si="36"/>
        <v>0</v>
      </c>
    </row>
    <row r="669" spans="2:11" x14ac:dyDescent="0.25">
      <c r="B669" s="1">
        <v>45913</v>
      </c>
      <c r="C669" t="s">
        <v>60</v>
      </c>
      <c r="E669" t="s">
        <v>29</v>
      </c>
      <c r="F669" t="s">
        <v>90</v>
      </c>
      <c r="G669" s="2">
        <v>2E-3</v>
      </c>
      <c r="H669">
        <f t="shared" si="37"/>
        <v>-0.83816200000000007</v>
      </c>
      <c r="I669">
        <v>41</v>
      </c>
      <c r="J669">
        <f t="shared" si="35"/>
        <v>-34.364642000000003</v>
      </c>
      <c r="K669">
        <f t="shared" si="36"/>
        <v>0</v>
      </c>
    </row>
    <row r="670" spans="2:11" x14ac:dyDescent="0.25">
      <c r="B670" s="1">
        <v>45913</v>
      </c>
      <c r="C670" t="s">
        <v>60</v>
      </c>
      <c r="E670" t="s">
        <v>66</v>
      </c>
      <c r="F670" t="s">
        <v>90</v>
      </c>
      <c r="G670" s="2">
        <v>1.2E-2</v>
      </c>
      <c r="H670">
        <f t="shared" si="37"/>
        <v>-0.29147200000000006</v>
      </c>
      <c r="I670">
        <v>41</v>
      </c>
      <c r="J670">
        <f t="shared" si="35"/>
        <v>-11.950352000000002</v>
      </c>
      <c r="K670">
        <f t="shared" si="36"/>
        <v>0</v>
      </c>
    </row>
    <row r="671" spans="2:11" x14ac:dyDescent="0.25">
      <c r="B671" s="1">
        <v>45913</v>
      </c>
      <c r="C671" t="s">
        <v>60</v>
      </c>
      <c r="D671" t="s">
        <v>67</v>
      </c>
      <c r="E671">
        <v>1</v>
      </c>
      <c r="F671" t="s">
        <v>90</v>
      </c>
      <c r="G671" s="2">
        <v>1.4E-2</v>
      </c>
      <c r="H671">
        <f t="shared" si="37"/>
        <v>-0.18213400000000002</v>
      </c>
      <c r="I671">
        <v>1</v>
      </c>
      <c r="J671">
        <f t="shared" si="35"/>
        <v>-0.18213400000000002</v>
      </c>
      <c r="K671">
        <f t="shared" si="36"/>
        <v>0</v>
      </c>
    </row>
    <row r="672" spans="2:11" x14ac:dyDescent="0.25">
      <c r="B672" s="1">
        <v>45913</v>
      </c>
      <c r="C672" t="s">
        <v>60</v>
      </c>
      <c r="D672" t="s">
        <v>67</v>
      </c>
      <c r="E672">
        <v>2</v>
      </c>
      <c r="F672" t="s">
        <v>90</v>
      </c>
      <c r="G672" s="2">
        <v>2.1000000000000001E-2</v>
      </c>
      <c r="H672">
        <f t="shared" si="37"/>
        <v>0.20054900000000009</v>
      </c>
      <c r="I672">
        <v>1</v>
      </c>
      <c r="J672">
        <f t="shared" si="35"/>
        <v>0.20054900000000009</v>
      </c>
      <c r="K672">
        <f t="shared" si="36"/>
        <v>0.20054900000000009</v>
      </c>
    </row>
    <row r="673" spans="2:11" x14ac:dyDescent="0.25">
      <c r="B673" s="1">
        <v>45913</v>
      </c>
      <c r="C673" t="s">
        <v>60</v>
      </c>
      <c r="D673" t="s">
        <v>67</v>
      </c>
      <c r="E673">
        <v>3</v>
      </c>
      <c r="F673" t="s">
        <v>90</v>
      </c>
      <c r="G673" s="2">
        <v>3.6999999999999998E-2</v>
      </c>
      <c r="H673">
        <f t="shared" si="37"/>
        <v>1.0752529999999998</v>
      </c>
      <c r="I673">
        <v>1</v>
      </c>
      <c r="J673">
        <f t="shared" si="35"/>
        <v>1.0752529999999998</v>
      </c>
      <c r="K673">
        <f t="shared" si="36"/>
        <v>1.0752529999999998</v>
      </c>
    </row>
    <row r="674" spans="2:11" x14ac:dyDescent="0.25">
      <c r="B674" s="1">
        <v>45912</v>
      </c>
      <c r="C674" t="s">
        <v>70</v>
      </c>
      <c r="E674" t="s">
        <v>13</v>
      </c>
      <c r="F674" t="s">
        <v>90</v>
      </c>
      <c r="G674" s="2">
        <v>3.0000000000000001E-3</v>
      </c>
      <c r="H674">
        <f t="shared" si="37"/>
        <v>-0.78349299999999999</v>
      </c>
      <c r="I674">
        <v>41</v>
      </c>
      <c r="J674">
        <f t="shared" si="35"/>
        <v>-32.123213</v>
      </c>
      <c r="K674">
        <f t="shared" si="36"/>
        <v>0</v>
      </c>
    </row>
    <row r="675" spans="2:11" x14ac:dyDescent="0.25">
      <c r="B675" s="1">
        <v>45912</v>
      </c>
      <c r="C675" t="s">
        <v>70</v>
      </c>
      <c r="E675" t="s">
        <v>14</v>
      </c>
      <c r="F675" t="s">
        <v>90</v>
      </c>
      <c r="G675" s="2">
        <v>1.2999999999999999E-2</v>
      </c>
      <c r="H675">
        <f t="shared" si="37"/>
        <v>-0.2368030000000001</v>
      </c>
      <c r="I675">
        <v>41</v>
      </c>
      <c r="J675">
        <f t="shared" si="35"/>
        <v>-9.708923000000004</v>
      </c>
      <c r="K675">
        <f t="shared" si="36"/>
        <v>0</v>
      </c>
    </row>
    <row r="676" spans="2:11" x14ac:dyDescent="0.25">
      <c r="B676" s="1">
        <v>45912</v>
      </c>
      <c r="C676" t="s">
        <v>70</v>
      </c>
      <c r="E676" t="s">
        <v>15</v>
      </c>
      <c r="F676" t="s">
        <v>90</v>
      </c>
      <c r="G676" s="2">
        <v>2.9000000000000001E-2</v>
      </c>
      <c r="H676">
        <f t="shared" si="37"/>
        <v>0.63790100000000005</v>
      </c>
      <c r="I676">
        <v>41</v>
      </c>
      <c r="J676">
        <f t="shared" si="35"/>
        <v>26.153941000000003</v>
      </c>
      <c r="K676">
        <f t="shared" si="36"/>
        <v>26.153941000000003</v>
      </c>
    </row>
    <row r="677" spans="2:11" x14ac:dyDescent="0.25">
      <c r="B677" s="1">
        <v>45912</v>
      </c>
      <c r="C677" t="s">
        <v>70</v>
      </c>
      <c r="E677" t="s">
        <v>61</v>
      </c>
      <c r="F677" t="s">
        <v>90</v>
      </c>
      <c r="G677" s="2">
        <v>3.0000000000000001E-3</v>
      </c>
      <c r="H677">
        <f t="shared" si="37"/>
        <v>-0.78349299999999999</v>
      </c>
      <c r="I677">
        <v>41</v>
      </c>
      <c r="J677">
        <f t="shared" si="35"/>
        <v>-32.123213</v>
      </c>
      <c r="K677">
        <f t="shared" si="36"/>
        <v>0</v>
      </c>
    </row>
    <row r="678" spans="2:11" x14ac:dyDescent="0.25">
      <c r="B678" s="1">
        <v>45912</v>
      </c>
      <c r="C678" t="s">
        <v>70</v>
      </c>
      <c r="E678" t="s">
        <v>16</v>
      </c>
      <c r="F678" t="s">
        <v>90</v>
      </c>
      <c r="G678" s="2">
        <v>1.0999999999999999E-2</v>
      </c>
      <c r="H678">
        <f t="shared" si="37"/>
        <v>-0.34614100000000003</v>
      </c>
      <c r="I678">
        <v>41</v>
      </c>
      <c r="J678">
        <f t="shared" si="35"/>
        <v>-14.191781000000001</v>
      </c>
      <c r="K678">
        <f t="shared" si="36"/>
        <v>0</v>
      </c>
    </row>
    <row r="679" spans="2:11" x14ac:dyDescent="0.25">
      <c r="B679" s="1">
        <v>45912</v>
      </c>
      <c r="C679" t="s">
        <v>70</v>
      </c>
      <c r="E679" t="s">
        <v>17</v>
      </c>
      <c r="F679" t="s">
        <v>90</v>
      </c>
      <c r="G679" s="2">
        <v>4.0000000000000001E-3</v>
      </c>
      <c r="H679">
        <f t="shared" si="37"/>
        <v>-0.72882400000000003</v>
      </c>
      <c r="I679">
        <v>41</v>
      </c>
      <c r="J679">
        <f t="shared" si="35"/>
        <v>-29.881784</v>
      </c>
      <c r="K679">
        <f t="shared" si="36"/>
        <v>0</v>
      </c>
    </row>
    <row r="680" spans="2:11" x14ac:dyDescent="0.25">
      <c r="B680" s="1">
        <v>45912</v>
      </c>
      <c r="C680" t="s">
        <v>70</v>
      </c>
      <c r="E680" t="s">
        <v>12</v>
      </c>
      <c r="F680" t="s">
        <v>90</v>
      </c>
      <c r="G680" s="2">
        <v>0</v>
      </c>
      <c r="H680">
        <f t="shared" si="37"/>
        <v>-0.94750000000000001</v>
      </c>
      <c r="I680">
        <v>41</v>
      </c>
      <c r="J680">
        <f t="shared" si="35"/>
        <v>-38.847500000000004</v>
      </c>
      <c r="K680">
        <f t="shared" si="36"/>
        <v>0</v>
      </c>
    </row>
    <row r="681" spans="2:11" x14ac:dyDescent="0.25">
      <c r="B681" s="1">
        <v>45912</v>
      </c>
      <c r="C681" t="s">
        <v>70</v>
      </c>
      <c r="E681" t="s">
        <v>62</v>
      </c>
      <c r="F681" t="s">
        <v>90</v>
      </c>
      <c r="G681" s="2">
        <v>2E-3</v>
      </c>
      <c r="H681">
        <f t="shared" si="37"/>
        <v>-0.83816200000000007</v>
      </c>
      <c r="I681">
        <v>41</v>
      </c>
      <c r="J681">
        <f t="shared" si="35"/>
        <v>-34.364642000000003</v>
      </c>
      <c r="K681">
        <f t="shared" si="36"/>
        <v>0</v>
      </c>
    </row>
    <row r="682" spans="2:11" x14ac:dyDescent="0.25">
      <c r="B682" s="1">
        <v>45912</v>
      </c>
      <c r="C682" t="s">
        <v>70</v>
      </c>
      <c r="E682" t="s">
        <v>18</v>
      </c>
      <c r="F682" t="s">
        <v>90</v>
      </c>
      <c r="G682" s="2">
        <v>3.0000000000000001E-3</v>
      </c>
      <c r="H682">
        <f t="shared" si="37"/>
        <v>-0.78349299999999999</v>
      </c>
      <c r="I682">
        <v>41</v>
      </c>
      <c r="J682">
        <f t="shared" si="35"/>
        <v>-32.123213</v>
      </c>
      <c r="K682">
        <f t="shared" si="36"/>
        <v>0</v>
      </c>
    </row>
    <row r="683" spans="2:11" x14ac:dyDescent="0.25">
      <c r="B683" s="1">
        <v>45912</v>
      </c>
      <c r="C683" t="s">
        <v>70</v>
      </c>
      <c r="E683" t="s">
        <v>19</v>
      </c>
      <c r="F683" t="s">
        <v>90</v>
      </c>
      <c r="G683" s="2">
        <v>7.0000000000000001E-3</v>
      </c>
      <c r="H683">
        <f t="shared" si="37"/>
        <v>-0.56481700000000001</v>
      </c>
      <c r="I683">
        <v>41</v>
      </c>
      <c r="J683">
        <f t="shared" si="35"/>
        <v>-23.157496999999999</v>
      </c>
      <c r="K683">
        <f t="shared" si="36"/>
        <v>0</v>
      </c>
    </row>
    <row r="684" spans="2:11" x14ac:dyDescent="0.25">
      <c r="B684" s="1">
        <v>45912</v>
      </c>
      <c r="C684" t="s">
        <v>70</v>
      </c>
      <c r="E684" t="s">
        <v>20</v>
      </c>
      <c r="F684" t="s">
        <v>90</v>
      </c>
      <c r="G684" s="2">
        <v>3.0000000000000001E-3</v>
      </c>
      <c r="H684">
        <f t="shared" si="37"/>
        <v>-0.78349299999999999</v>
      </c>
      <c r="I684">
        <v>41</v>
      </c>
      <c r="J684">
        <f t="shared" si="35"/>
        <v>-32.123213</v>
      </c>
      <c r="K684">
        <f t="shared" si="36"/>
        <v>0</v>
      </c>
    </row>
    <row r="685" spans="2:11" x14ac:dyDescent="0.25">
      <c r="B685" s="1">
        <v>45912</v>
      </c>
      <c r="C685" t="s">
        <v>70</v>
      </c>
      <c r="E685" t="s">
        <v>63</v>
      </c>
      <c r="F685" t="s">
        <v>90</v>
      </c>
      <c r="G685" s="2">
        <v>0</v>
      </c>
      <c r="H685">
        <f t="shared" si="37"/>
        <v>-0.94750000000000001</v>
      </c>
      <c r="I685">
        <v>41</v>
      </c>
      <c r="J685">
        <f t="shared" si="35"/>
        <v>-38.847500000000004</v>
      </c>
      <c r="K685">
        <f t="shared" si="36"/>
        <v>0</v>
      </c>
    </row>
    <row r="686" spans="2:11" x14ac:dyDescent="0.25">
      <c r="B686" s="1">
        <v>45912</v>
      </c>
      <c r="C686" t="s">
        <v>70</v>
      </c>
      <c r="E686" t="s">
        <v>21</v>
      </c>
      <c r="F686" t="s">
        <v>90</v>
      </c>
      <c r="G686" s="2">
        <v>8.0000000000000002E-3</v>
      </c>
      <c r="H686">
        <f t="shared" si="37"/>
        <v>-0.51014800000000005</v>
      </c>
      <c r="I686">
        <v>41</v>
      </c>
      <c r="J686">
        <f t="shared" si="35"/>
        <v>-20.916068000000003</v>
      </c>
      <c r="K686">
        <f t="shared" si="36"/>
        <v>0</v>
      </c>
    </row>
    <row r="687" spans="2:11" x14ac:dyDescent="0.25">
      <c r="B687" s="1">
        <v>45912</v>
      </c>
      <c r="C687" t="s">
        <v>70</v>
      </c>
      <c r="E687" t="s">
        <v>22</v>
      </c>
      <c r="F687" t="s">
        <v>90</v>
      </c>
      <c r="G687" s="2">
        <v>0</v>
      </c>
      <c r="H687">
        <f t="shared" si="37"/>
        <v>-0.94750000000000001</v>
      </c>
      <c r="I687">
        <v>41</v>
      </c>
      <c r="J687">
        <f t="shared" si="35"/>
        <v>-38.847500000000004</v>
      </c>
      <c r="K687">
        <f t="shared" si="36"/>
        <v>0</v>
      </c>
    </row>
    <row r="688" spans="2:11" x14ac:dyDescent="0.25">
      <c r="B688" s="1">
        <v>45912</v>
      </c>
      <c r="C688" t="s">
        <v>70</v>
      </c>
      <c r="E688" t="s">
        <v>23</v>
      </c>
      <c r="F688" t="s">
        <v>90</v>
      </c>
      <c r="G688" s="2">
        <v>1E-3</v>
      </c>
      <c r="H688">
        <f t="shared" si="37"/>
        <v>-0.89283100000000004</v>
      </c>
      <c r="I688">
        <v>41</v>
      </c>
      <c r="J688">
        <f t="shared" si="35"/>
        <v>-36.606071</v>
      </c>
      <c r="K688">
        <f t="shared" si="36"/>
        <v>0</v>
      </c>
    </row>
    <row r="689" spans="2:11" x14ac:dyDescent="0.25">
      <c r="B689" s="1">
        <v>45912</v>
      </c>
      <c r="C689" t="s">
        <v>70</v>
      </c>
      <c r="E689" t="s">
        <v>64</v>
      </c>
      <c r="F689" t="s">
        <v>90</v>
      </c>
      <c r="G689" s="2">
        <v>4.0000000000000001E-3</v>
      </c>
      <c r="H689">
        <f t="shared" si="37"/>
        <v>-0.72882400000000003</v>
      </c>
      <c r="I689">
        <v>41</v>
      </c>
      <c r="J689">
        <f t="shared" si="35"/>
        <v>-29.881784</v>
      </c>
      <c r="K689">
        <f t="shared" si="36"/>
        <v>0</v>
      </c>
    </row>
    <row r="690" spans="2:11" x14ac:dyDescent="0.25">
      <c r="B690" s="1">
        <v>45912</v>
      </c>
      <c r="C690" t="s">
        <v>70</v>
      </c>
      <c r="E690" t="s">
        <v>24</v>
      </c>
      <c r="F690" t="s">
        <v>90</v>
      </c>
      <c r="G690" s="2">
        <v>0</v>
      </c>
      <c r="H690">
        <f t="shared" si="37"/>
        <v>-0.94750000000000001</v>
      </c>
      <c r="I690">
        <v>41</v>
      </c>
      <c r="J690">
        <f t="shared" si="35"/>
        <v>-38.847500000000004</v>
      </c>
      <c r="K690">
        <f t="shared" si="36"/>
        <v>0</v>
      </c>
    </row>
    <row r="691" spans="2:11" x14ac:dyDescent="0.25">
      <c r="B691" s="1">
        <v>45912</v>
      </c>
      <c r="C691" t="s">
        <v>70</v>
      </c>
      <c r="E691" t="s">
        <v>25</v>
      </c>
      <c r="F691" t="s">
        <v>90</v>
      </c>
      <c r="G691" s="2">
        <v>5.0000000000000001E-3</v>
      </c>
      <c r="H691">
        <f t="shared" si="37"/>
        <v>-0.67415500000000006</v>
      </c>
      <c r="I691">
        <v>41</v>
      </c>
      <c r="J691">
        <f t="shared" si="35"/>
        <v>-27.640355000000003</v>
      </c>
      <c r="K691">
        <f t="shared" si="36"/>
        <v>0</v>
      </c>
    </row>
    <row r="692" spans="2:11" x14ac:dyDescent="0.25">
      <c r="B692" s="1">
        <v>45912</v>
      </c>
      <c r="C692" t="s">
        <v>70</v>
      </c>
      <c r="E692" t="s">
        <v>26</v>
      </c>
      <c r="F692" t="s">
        <v>90</v>
      </c>
      <c r="G692" s="2">
        <v>0</v>
      </c>
      <c r="H692">
        <f t="shared" si="37"/>
        <v>-0.94750000000000001</v>
      </c>
      <c r="I692">
        <v>41</v>
      </c>
      <c r="J692">
        <f t="shared" si="35"/>
        <v>-38.847500000000004</v>
      </c>
      <c r="K692">
        <f t="shared" si="36"/>
        <v>0</v>
      </c>
    </row>
    <row r="693" spans="2:11" x14ac:dyDescent="0.25">
      <c r="B693" s="1">
        <v>45912</v>
      </c>
      <c r="C693" t="s">
        <v>70</v>
      </c>
      <c r="E693" t="s">
        <v>65</v>
      </c>
      <c r="F693" t="s">
        <v>90</v>
      </c>
      <c r="G693" s="2">
        <v>0</v>
      </c>
      <c r="H693">
        <f t="shared" si="37"/>
        <v>-0.94750000000000001</v>
      </c>
      <c r="I693">
        <v>41</v>
      </c>
      <c r="J693">
        <f t="shared" si="35"/>
        <v>-38.847500000000004</v>
      </c>
      <c r="K693">
        <f t="shared" si="36"/>
        <v>0</v>
      </c>
    </row>
    <row r="694" spans="2:11" x14ac:dyDescent="0.25">
      <c r="B694" s="1">
        <v>45912</v>
      </c>
      <c r="C694" t="s">
        <v>70</v>
      </c>
      <c r="E694" t="s">
        <v>27</v>
      </c>
      <c r="F694" t="s">
        <v>90</v>
      </c>
      <c r="G694" s="2">
        <v>4.0000000000000001E-3</v>
      </c>
      <c r="H694">
        <f t="shared" si="37"/>
        <v>-0.72882400000000003</v>
      </c>
      <c r="I694">
        <v>41</v>
      </c>
      <c r="J694">
        <f t="shared" si="35"/>
        <v>-29.881784</v>
      </c>
      <c r="K694">
        <f t="shared" si="36"/>
        <v>0</v>
      </c>
    </row>
    <row r="695" spans="2:11" x14ac:dyDescent="0.25">
      <c r="B695" s="1">
        <v>45912</v>
      </c>
      <c r="C695" t="s">
        <v>70</v>
      </c>
      <c r="E695" t="s">
        <v>28</v>
      </c>
      <c r="F695" t="s">
        <v>90</v>
      </c>
      <c r="G695" s="2">
        <v>8.9999999999999993E-3</v>
      </c>
      <c r="H695">
        <f t="shared" si="37"/>
        <v>-0.45547900000000008</v>
      </c>
      <c r="I695">
        <v>41</v>
      </c>
      <c r="J695">
        <f t="shared" si="35"/>
        <v>-18.674639000000003</v>
      </c>
      <c r="K695">
        <f t="shared" si="36"/>
        <v>0</v>
      </c>
    </row>
    <row r="696" spans="2:11" x14ac:dyDescent="0.25">
      <c r="B696" s="1">
        <v>45912</v>
      </c>
      <c r="C696" t="s">
        <v>70</v>
      </c>
      <c r="E696" t="s">
        <v>29</v>
      </c>
      <c r="F696" t="s">
        <v>90</v>
      </c>
      <c r="G696" s="2">
        <v>4.0000000000000001E-3</v>
      </c>
      <c r="H696">
        <f t="shared" si="37"/>
        <v>-0.72882400000000003</v>
      </c>
      <c r="I696">
        <v>41</v>
      </c>
      <c r="J696">
        <f t="shared" si="35"/>
        <v>-29.881784</v>
      </c>
      <c r="K696">
        <f t="shared" si="36"/>
        <v>0</v>
      </c>
    </row>
    <row r="697" spans="2:11" x14ac:dyDescent="0.25">
      <c r="B697" s="1">
        <v>45912</v>
      </c>
      <c r="C697" t="s">
        <v>70</v>
      </c>
      <c r="E697" t="s">
        <v>66</v>
      </c>
      <c r="F697" t="s">
        <v>90</v>
      </c>
      <c r="G697" s="2">
        <v>7.0000000000000001E-3</v>
      </c>
      <c r="H697">
        <f t="shared" si="37"/>
        <v>-0.56481700000000001</v>
      </c>
      <c r="I697">
        <v>41</v>
      </c>
      <c r="J697">
        <f t="shared" si="35"/>
        <v>-23.157496999999999</v>
      </c>
      <c r="K697">
        <f t="shared" si="36"/>
        <v>0</v>
      </c>
    </row>
    <row r="698" spans="2:11" x14ac:dyDescent="0.25">
      <c r="B698" s="1">
        <v>45912</v>
      </c>
      <c r="C698" t="s">
        <v>70</v>
      </c>
      <c r="D698" t="s">
        <v>67</v>
      </c>
      <c r="E698">
        <v>1</v>
      </c>
      <c r="F698" t="s">
        <v>90</v>
      </c>
      <c r="G698" s="2">
        <v>5.3999999999999999E-2</v>
      </c>
      <c r="H698">
        <f t="shared" si="37"/>
        <v>2.004626</v>
      </c>
      <c r="I698">
        <v>1</v>
      </c>
      <c r="J698">
        <f t="shared" si="35"/>
        <v>2.004626</v>
      </c>
      <c r="K698">
        <f t="shared" si="36"/>
        <v>2.004626</v>
      </c>
    </row>
    <row r="699" spans="2:11" x14ac:dyDescent="0.25">
      <c r="B699" s="1">
        <v>45912</v>
      </c>
      <c r="C699" t="s">
        <v>70</v>
      </c>
      <c r="D699" t="s">
        <v>67</v>
      </c>
      <c r="E699">
        <v>2</v>
      </c>
      <c r="F699" t="s">
        <v>90</v>
      </c>
      <c r="G699" s="2">
        <v>4.0000000000000001E-3</v>
      </c>
      <c r="H699">
        <f t="shared" si="37"/>
        <v>-0.72882400000000003</v>
      </c>
      <c r="I699">
        <v>1</v>
      </c>
      <c r="J699">
        <f t="shared" si="35"/>
        <v>-0.72882400000000003</v>
      </c>
      <c r="K699">
        <f t="shared" si="36"/>
        <v>0</v>
      </c>
    </row>
    <row r="700" spans="2:11" x14ac:dyDescent="0.25">
      <c r="B700" s="1">
        <v>45912</v>
      </c>
      <c r="C700" t="s">
        <v>70</v>
      </c>
      <c r="D700" t="s">
        <v>67</v>
      </c>
      <c r="E700">
        <v>3</v>
      </c>
      <c r="F700" t="s">
        <v>90</v>
      </c>
      <c r="G700" s="2">
        <v>1.7000000000000001E-2</v>
      </c>
      <c r="H700">
        <f t="shared" si="37"/>
        <v>-1.8127000000000004E-2</v>
      </c>
      <c r="I700">
        <v>1</v>
      </c>
      <c r="J700">
        <f t="shared" si="35"/>
        <v>-1.8127000000000004E-2</v>
      </c>
      <c r="K700">
        <f t="shared" si="36"/>
        <v>0</v>
      </c>
    </row>
    <row r="701" spans="2:11" x14ac:dyDescent="0.25">
      <c r="B701" s="1">
        <v>45912</v>
      </c>
      <c r="C701" t="s">
        <v>72</v>
      </c>
      <c r="E701" t="s">
        <v>13</v>
      </c>
      <c r="F701" t="s">
        <v>90</v>
      </c>
      <c r="G701" s="2">
        <v>0</v>
      </c>
      <c r="H701">
        <f t="shared" si="37"/>
        <v>-0.94750000000000001</v>
      </c>
      <c r="I701">
        <v>41</v>
      </c>
      <c r="J701">
        <f t="shared" si="35"/>
        <v>-38.847500000000004</v>
      </c>
      <c r="K701">
        <f t="shared" si="36"/>
        <v>0</v>
      </c>
    </row>
    <row r="702" spans="2:11" x14ac:dyDescent="0.25">
      <c r="B702" s="1">
        <v>45912</v>
      </c>
      <c r="C702" t="s">
        <v>72</v>
      </c>
      <c r="E702" t="s">
        <v>14</v>
      </c>
      <c r="F702" t="s">
        <v>90</v>
      </c>
      <c r="G702" s="2">
        <v>8.9999999999999993E-3</v>
      </c>
      <c r="H702">
        <f t="shared" si="37"/>
        <v>-0.45547900000000008</v>
      </c>
      <c r="I702">
        <v>41</v>
      </c>
      <c r="J702">
        <f t="shared" si="35"/>
        <v>-18.674639000000003</v>
      </c>
      <c r="K702">
        <f t="shared" si="36"/>
        <v>0</v>
      </c>
    </row>
    <row r="703" spans="2:11" x14ac:dyDescent="0.25">
      <c r="B703" s="1">
        <v>45912</v>
      </c>
      <c r="C703" t="s">
        <v>72</v>
      </c>
      <c r="E703" t="s">
        <v>15</v>
      </c>
      <c r="F703" t="s">
        <v>90</v>
      </c>
      <c r="G703" s="2">
        <v>0</v>
      </c>
      <c r="H703">
        <f t="shared" si="37"/>
        <v>-0.94750000000000001</v>
      </c>
      <c r="I703">
        <v>41</v>
      </c>
      <c r="J703">
        <f t="shared" si="35"/>
        <v>-38.847500000000004</v>
      </c>
      <c r="K703">
        <f t="shared" si="36"/>
        <v>0</v>
      </c>
    </row>
    <row r="704" spans="2:11" x14ac:dyDescent="0.25">
      <c r="B704" s="1">
        <v>45912</v>
      </c>
      <c r="C704" t="s">
        <v>72</v>
      </c>
      <c r="E704" t="s">
        <v>61</v>
      </c>
      <c r="F704" t="s">
        <v>90</v>
      </c>
      <c r="G704" s="2">
        <v>0</v>
      </c>
      <c r="H704">
        <f t="shared" si="37"/>
        <v>-0.94750000000000001</v>
      </c>
      <c r="I704">
        <v>41</v>
      </c>
      <c r="J704">
        <f t="shared" si="35"/>
        <v>-38.847500000000004</v>
      </c>
      <c r="K704">
        <f t="shared" si="36"/>
        <v>0</v>
      </c>
    </row>
    <row r="705" spans="2:11" x14ac:dyDescent="0.25">
      <c r="B705" s="1">
        <v>45912</v>
      </c>
      <c r="C705" t="s">
        <v>72</v>
      </c>
      <c r="E705" t="s">
        <v>16</v>
      </c>
      <c r="F705" t="s">
        <v>90</v>
      </c>
      <c r="G705" s="2">
        <v>3.0000000000000001E-3</v>
      </c>
      <c r="H705">
        <f t="shared" si="37"/>
        <v>-0.78349299999999999</v>
      </c>
      <c r="I705">
        <v>41</v>
      </c>
      <c r="J705">
        <f t="shared" si="35"/>
        <v>-32.123213</v>
      </c>
      <c r="K705">
        <f t="shared" si="36"/>
        <v>0</v>
      </c>
    </row>
    <row r="706" spans="2:11" x14ac:dyDescent="0.25">
      <c r="B706" s="1">
        <v>45912</v>
      </c>
      <c r="C706" t="s">
        <v>72</v>
      </c>
      <c r="E706" t="s">
        <v>17</v>
      </c>
      <c r="F706" t="s">
        <v>90</v>
      </c>
      <c r="G706" s="2">
        <v>1.0999999999999999E-2</v>
      </c>
      <c r="H706">
        <f t="shared" si="37"/>
        <v>-0.34614100000000003</v>
      </c>
      <c r="I706">
        <v>41</v>
      </c>
      <c r="J706">
        <f t="shared" si="35"/>
        <v>-14.191781000000001</v>
      </c>
      <c r="K706">
        <f t="shared" si="36"/>
        <v>0</v>
      </c>
    </row>
    <row r="707" spans="2:11" x14ac:dyDescent="0.25">
      <c r="B707" s="1">
        <v>45912</v>
      </c>
      <c r="C707" t="s">
        <v>72</v>
      </c>
      <c r="E707" t="s">
        <v>12</v>
      </c>
      <c r="F707" t="s">
        <v>90</v>
      </c>
      <c r="G707" s="2">
        <v>0</v>
      </c>
      <c r="H707">
        <f t="shared" si="37"/>
        <v>-0.94750000000000001</v>
      </c>
      <c r="I707">
        <v>41</v>
      </c>
      <c r="J707">
        <f t="shared" si="35"/>
        <v>-38.847500000000004</v>
      </c>
      <c r="K707">
        <f t="shared" si="36"/>
        <v>0</v>
      </c>
    </row>
    <row r="708" spans="2:11" x14ac:dyDescent="0.25">
      <c r="B708" s="1">
        <v>45912</v>
      </c>
      <c r="C708" t="s">
        <v>72</v>
      </c>
      <c r="E708" t="s">
        <v>62</v>
      </c>
      <c r="F708" t="s">
        <v>90</v>
      </c>
      <c r="G708" s="2">
        <v>5.0999999999999997E-2</v>
      </c>
      <c r="H708">
        <f t="shared" si="37"/>
        <v>1.8406189999999996</v>
      </c>
      <c r="I708">
        <v>41</v>
      </c>
      <c r="J708">
        <f t="shared" si="35"/>
        <v>75.465378999999984</v>
      </c>
      <c r="K708">
        <f t="shared" si="36"/>
        <v>75.465378999999984</v>
      </c>
    </row>
    <row r="709" spans="2:11" x14ac:dyDescent="0.25">
      <c r="B709" s="1">
        <v>45912</v>
      </c>
      <c r="C709" t="s">
        <v>72</v>
      </c>
      <c r="E709" t="s">
        <v>18</v>
      </c>
      <c r="F709" t="s">
        <v>90</v>
      </c>
      <c r="G709" s="2">
        <v>5.0000000000000001E-3</v>
      </c>
      <c r="H709">
        <f t="shared" si="37"/>
        <v>-0.67415500000000006</v>
      </c>
      <c r="I709">
        <v>41</v>
      </c>
      <c r="J709">
        <f t="shared" si="35"/>
        <v>-27.640355000000003</v>
      </c>
      <c r="K709">
        <f t="shared" si="36"/>
        <v>0</v>
      </c>
    </row>
    <row r="710" spans="2:11" x14ac:dyDescent="0.25">
      <c r="B710" s="1">
        <v>45912</v>
      </c>
      <c r="C710" t="s">
        <v>72</v>
      </c>
      <c r="E710" t="s">
        <v>19</v>
      </c>
      <c r="F710" t="s">
        <v>90</v>
      </c>
      <c r="G710" s="2">
        <v>0</v>
      </c>
      <c r="H710">
        <f t="shared" si="37"/>
        <v>-0.94750000000000001</v>
      </c>
      <c r="I710">
        <v>41</v>
      </c>
      <c r="J710">
        <f t="shared" si="35"/>
        <v>-38.847500000000004</v>
      </c>
      <c r="K710">
        <f t="shared" si="36"/>
        <v>0</v>
      </c>
    </row>
    <row r="711" spans="2:11" x14ac:dyDescent="0.25">
      <c r="B711" s="1">
        <v>45912</v>
      </c>
      <c r="C711" t="s">
        <v>72</v>
      </c>
      <c r="E711" t="s">
        <v>20</v>
      </c>
      <c r="F711" t="s">
        <v>90</v>
      </c>
      <c r="G711" s="2">
        <v>6.0000000000000001E-3</v>
      </c>
      <c r="H711">
        <f t="shared" si="37"/>
        <v>-0.61948599999999998</v>
      </c>
      <c r="I711">
        <v>41</v>
      </c>
      <c r="J711">
        <f t="shared" si="35"/>
        <v>-25.398925999999999</v>
      </c>
      <c r="K711">
        <f t="shared" si="36"/>
        <v>0</v>
      </c>
    </row>
    <row r="712" spans="2:11" x14ac:dyDescent="0.25">
      <c r="B712" s="1">
        <v>45912</v>
      </c>
      <c r="C712" t="s">
        <v>72</v>
      </c>
      <c r="E712" t="s">
        <v>63</v>
      </c>
      <c r="F712" t="s">
        <v>90</v>
      </c>
      <c r="G712" s="2">
        <v>3.0000000000000001E-3</v>
      </c>
      <c r="H712">
        <f t="shared" si="37"/>
        <v>-0.78349299999999999</v>
      </c>
      <c r="I712">
        <v>41</v>
      </c>
      <c r="J712">
        <f t="shared" si="35"/>
        <v>-32.123213</v>
      </c>
      <c r="K712">
        <f t="shared" si="36"/>
        <v>0</v>
      </c>
    </row>
    <row r="713" spans="2:11" x14ac:dyDescent="0.25">
      <c r="B713" s="1">
        <v>45912</v>
      </c>
      <c r="C713" t="s">
        <v>72</v>
      </c>
      <c r="E713" t="s">
        <v>21</v>
      </c>
      <c r="F713" t="s">
        <v>90</v>
      </c>
      <c r="G713" s="2">
        <v>1E-3</v>
      </c>
      <c r="H713">
        <f t="shared" si="37"/>
        <v>-0.89283100000000004</v>
      </c>
      <c r="I713">
        <v>41</v>
      </c>
      <c r="J713">
        <f t="shared" si="35"/>
        <v>-36.606071</v>
      </c>
      <c r="K713">
        <f t="shared" si="36"/>
        <v>0</v>
      </c>
    </row>
    <row r="714" spans="2:11" x14ac:dyDescent="0.25">
      <c r="B714" s="1">
        <v>45912</v>
      </c>
      <c r="C714" t="s">
        <v>72</v>
      </c>
      <c r="E714" t="s">
        <v>22</v>
      </c>
      <c r="F714" t="s">
        <v>90</v>
      </c>
      <c r="G714" s="2">
        <v>5.0000000000000001E-3</v>
      </c>
      <c r="H714">
        <f t="shared" si="37"/>
        <v>-0.67415500000000006</v>
      </c>
      <c r="I714">
        <v>41</v>
      </c>
      <c r="J714">
        <f t="shared" si="35"/>
        <v>-27.640355000000003</v>
      </c>
      <c r="K714">
        <f t="shared" si="36"/>
        <v>0</v>
      </c>
    </row>
    <row r="715" spans="2:11" x14ac:dyDescent="0.25">
      <c r="B715" s="1">
        <v>45912</v>
      </c>
      <c r="C715" t="s">
        <v>72</v>
      </c>
      <c r="E715" t="s">
        <v>23</v>
      </c>
      <c r="F715" t="s">
        <v>90</v>
      </c>
      <c r="G715" s="2">
        <v>3.0000000000000001E-3</v>
      </c>
      <c r="H715">
        <f t="shared" si="37"/>
        <v>-0.78349299999999999</v>
      </c>
      <c r="I715">
        <v>41</v>
      </c>
      <c r="J715">
        <f t="shared" si="35"/>
        <v>-32.123213</v>
      </c>
      <c r="K715">
        <f t="shared" si="36"/>
        <v>0</v>
      </c>
    </row>
    <row r="716" spans="2:11" x14ac:dyDescent="0.25">
      <c r="B716" s="1">
        <v>45912</v>
      </c>
      <c r="C716" t="s">
        <v>72</v>
      </c>
      <c r="E716" t="s">
        <v>64</v>
      </c>
      <c r="F716" t="s">
        <v>90</v>
      </c>
      <c r="G716" s="2">
        <v>1E-3</v>
      </c>
      <c r="H716">
        <f t="shared" si="37"/>
        <v>-0.89283100000000004</v>
      </c>
      <c r="I716">
        <v>41</v>
      </c>
      <c r="J716">
        <f t="shared" si="35"/>
        <v>-36.606071</v>
      </c>
      <c r="K716">
        <f t="shared" si="36"/>
        <v>0</v>
      </c>
    </row>
    <row r="717" spans="2:11" x14ac:dyDescent="0.25">
      <c r="B717" s="1">
        <v>45912</v>
      </c>
      <c r="C717" t="s">
        <v>72</v>
      </c>
      <c r="E717" t="s">
        <v>24</v>
      </c>
      <c r="F717" t="s">
        <v>90</v>
      </c>
      <c r="G717" s="2">
        <v>0</v>
      </c>
      <c r="H717">
        <f t="shared" si="37"/>
        <v>-0.94750000000000001</v>
      </c>
      <c r="I717">
        <v>41</v>
      </c>
      <c r="J717">
        <f t="shared" si="35"/>
        <v>-38.847500000000004</v>
      </c>
      <c r="K717">
        <f t="shared" si="36"/>
        <v>0</v>
      </c>
    </row>
    <row r="718" spans="2:11" x14ac:dyDescent="0.25">
      <c r="B718" s="1">
        <v>45912</v>
      </c>
      <c r="C718" t="s">
        <v>72</v>
      </c>
      <c r="E718" t="s">
        <v>25</v>
      </c>
      <c r="F718" t="s">
        <v>90</v>
      </c>
      <c r="G718" s="2">
        <v>0</v>
      </c>
      <c r="H718">
        <f t="shared" si="37"/>
        <v>-0.94750000000000001</v>
      </c>
      <c r="I718">
        <v>41</v>
      </c>
      <c r="J718">
        <f t="shared" si="35"/>
        <v>-38.847500000000004</v>
      </c>
      <c r="K718">
        <f t="shared" si="36"/>
        <v>0</v>
      </c>
    </row>
    <row r="719" spans="2:11" x14ac:dyDescent="0.25">
      <c r="B719" s="1">
        <v>45912</v>
      </c>
      <c r="C719" t="s">
        <v>72</v>
      </c>
      <c r="E719" t="s">
        <v>26</v>
      </c>
      <c r="F719" t="s">
        <v>90</v>
      </c>
      <c r="G719" s="2">
        <v>7.0000000000000001E-3</v>
      </c>
      <c r="H719">
        <f t="shared" si="37"/>
        <v>-0.56481700000000001</v>
      </c>
      <c r="I719">
        <v>41</v>
      </c>
      <c r="J719">
        <f t="shared" si="35"/>
        <v>-23.157496999999999</v>
      </c>
      <c r="K719">
        <f t="shared" si="36"/>
        <v>0</v>
      </c>
    </row>
    <row r="720" spans="2:11" x14ac:dyDescent="0.25">
      <c r="B720" s="1">
        <v>45912</v>
      </c>
      <c r="C720" t="s">
        <v>72</v>
      </c>
      <c r="E720" t="s">
        <v>65</v>
      </c>
      <c r="F720" t="s">
        <v>90</v>
      </c>
      <c r="G720" s="2">
        <v>0</v>
      </c>
      <c r="H720">
        <f t="shared" si="37"/>
        <v>-0.94750000000000001</v>
      </c>
      <c r="I720">
        <v>41</v>
      </c>
      <c r="J720">
        <f t="shared" si="35"/>
        <v>-38.847500000000004</v>
      </c>
      <c r="K720">
        <f t="shared" si="36"/>
        <v>0</v>
      </c>
    </row>
    <row r="721" spans="2:11" x14ac:dyDescent="0.25">
      <c r="B721" s="1">
        <v>45912</v>
      </c>
      <c r="C721" t="s">
        <v>72</v>
      </c>
      <c r="E721" t="s">
        <v>27</v>
      </c>
      <c r="F721" t="s">
        <v>90</v>
      </c>
      <c r="G721" s="2">
        <v>0</v>
      </c>
      <c r="H721">
        <f t="shared" si="37"/>
        <v>-0.94750000000000001</v>
      </c>
      <c r="I721">
        <v>41</v>
      </c>
      <c r="J721">
        <f t="shared" si="35"/>
        <v>-38.847500000000004</v>
      </c>
      <c r="K721">
        <f t="shared" si="36"/>
        <v>0</v>
      </c>
    </row>
    <row r="722" spans="2:11" x14ac:dyDescent="0.25">
      <c r="B722" s="1">
        <v>45912</v>
      </c>
      <c r="C722" t="s">
        <v>72</v>
      </c>
      <c r="E722" t="s">
        <v>28</v>
      </c>
      <c r="F722" t="s">
        <v>90</v>
      </c>
      <c r="G722" s="2">
        <v>1.2999999999999999E-2</v>
      </c>
      <c r="H722">
        <f t="shared" si="37"/>
        <v>-0.2368030000000001</v>
      </c>
      <c r="I722">
        <v>41</v>
      </c>
      <c r="J722">
        <f t="shared" si="35"/>
        <v>-9.708923000000004</v>
      </c>
      <c r="K722">
        <f t="shared" si="36"/>
        <v>0</v>
      </c>
    </row>
    <row r="723" spans="2:11" x14ac:dyDescent="0.25">
      <c r="B723" s="1">
        <v>45912</v>
      </c>
      <c r="C723" t="s">
        <v>72</v>
      </c>
      <c r="E723" t="s">
        <v>29</v>
      </c>
      <c r="F723" t="s">
        <v>90</v>
      </c>
      <c r="G723" s="2">
        <v>4.0000000000000001E-3</v>
      </c>
      <c r="H723">
        <f t="shared" si="37"/>
        <v>-0.72882400000000003</v>
      </c>
      <c r="I723">
        <v>41</v>
      </c>
      <c r="J723">
        <f t="shared" si="35"/>
        <v>-29.881784</v>
      </c>
      <c r="K723">
        <f t="shared" si="36"/>
        <v>0</v>
      </c>
    </row>
    <row r="724" spans="2:11" x14ac:dyDescent="0.25">
      <c r="B724" s="1">
        <v>45912</v>
      </c>
      <c r="C724" t="s">
        <v>72</v>
      </c>
      <c r="E724" t="s">
        <v>66</v>
      </c>
      <c r="F724" t="s">
        <v>90</v>
      </c>
      <c r="G724" s="2">
        <v>2.1999999999999999E-2</v>
      </c>
      <c r="H724">
        <f t="shared" si="37"/>
        <v>0.25521799999999994</v>
      </c>
      <c r="I724">
        <v>41</v>
      </c>
      <c r="J724">
        <f t="shared" si="35"/>
        <v>10.463937999999997</v>
      </c>
      <c r="K724">
        <f t="shared" si="36"/>
        <v>10.463937999999997</v>
      </c>
    </row>
    <row r="725" spans="2:11" x14ac:dyDescent="0.25">
      <c r="B725" s="1">
        <v>45912</v>
      </c>
      <c r="C725" t="s">
        <v>72</v>
      </c>
      <c r="D725" t="s">
        <v>67</v>
      </c>
      <c r="E725">
        <v>1</v>
      </c>
      <c r="F725" t="s">
        <v>90</v>
      </c>
      <c r="G725" s="2">
        <v>7.0000000000000001E-3</v>
      </c>
      <c r="H725">
        <f t="shared" si="37"/>
        <v>-0.56481700000000001</v>
      </c>
      <c r="I725">
        <v>1</v>
      </c>
      <c r="J725">
        <f t="shared" si="35"/>
        <v>-0.56481700000000001</v>
      </c>
      <c r="K725">
        <f t="shared" si="36"/>
        <v>0</v>
      </c>
    </row>
    <row r="726" spans="2:11" x14ac:dyDescent="0.25">
      <c r="B726" s="1">
        <v>45912</v>
      </c>
      <c r="C726" t="s">
        <v>72</v>
      </c>
      <c r="D726" t="s">
        <v>67</v>
      </c>
      <c r="E726">
        <v>2</v>
      </c>
      <c r="F726" t="s">
        <v>90</v>
      </c>
      <c r="G726" s="2">
        <v>7.0000000000000001E-3</v>
      </c>
      <c r="H726">
        <f t="shared" si="37"/>
        <v>-0.56481700000000001</v>
      </c>
      <c r="I726">
        <v>1</v>
      </c>
      <c r="J726">
        <f t="shared" si="35"/>
        <v>-0.56481700000000001</v>
      </c>
      <c r="K726">
        <f t="shared" si="36"/>
        <v>0</v>
      </c>
    </row>
    <row r="727" spans="2:11" x14ac:dyDescent="0.25">
      <c r="B727" s="1">
        <v>45912</v>
      </c>
      <c r="C727" t="s">
        <v>72</v>
      </c>
      <c r="D727" t="s">
        <v>67</v>
      </c>
      <c r="E727">
        <v>3</v>
      </c>
      <c r="F727" t="s">
        <v>90</v>
      </c>
      <c r="G727" s="2">
        <v>1.0999999999999999E-2</v>
      </c>
      <c r="H727">
        <f t="shared" si="37"/>
        <v>-0.34614100000000003</v>
      </c>
      <c r="I727">
        <v>1</v>
      </c>
      <c r="J727">
        <f t="shared" si="35"/>
        <v>-0.34614100000000003</v>
      </c>
      <c r="K727">
        <f t="shared" si="36"/>
        <v>0</v>
      </c>
    </row>
    <row r="728" spans="2:11" x14ac:dyDescent="0.25">
      <c r="B728" s="1">
        <v>45947</v>
      </c>
      <c r="C728" t="s">
        <v>12</v>
      </c>
      <c r="E728" t="s">
        <v>13</v>
      </c>
      <c r="F728" t="s">
        <v>104</v>
      </c>
      <c r="G728" s="2">
        <v>0</v>
      </c>
      <c r="H728">
        <f>(68.247*G728)-0.9479</f>
        <v>-0.94789999999999996</v>
      </c>
      <c r="I728" s="2">
        <v>20.5</v>
      </c>
      <c r="J728">
        <f t="shared" ref="J728:J791" si="38">H728*I728</f>
        <v>-19.431950000000001</v>
      </c>
      <c r="K728">
        <f t="shared" ref="K728:K791" si="39">MAX(J728,0)</f>
        <v>0</v>
      </c>
    </row>
    <row r="729" spans="2:11" x14ac:dyDescent="0.25">
      <c r="B729" s="1">
        <v>45947</v>
      </c>
      <c r="C729" t="s">
        <v>12</v>
      </c>
      <c r="E729" t="s">
        <v>14</v>
      </c>
      <c r="F729" t="s">
        <v>105</v>
      </c>
      <c r="G729" s="2">
        <v>4.9000000000000002E-2</v>
      </c>
      <c r="H729">
        <f t="shared" ref="H729:H792" si="40">(68.247*G729)-0.9479</f>
        <v>2.3962029999999999</v>
      </c>
      <c r="I729" s="2">
        <v>20.5</v>
      </c>
      <c r="J729">
        <f t="shared" si="38"/>
        <v>49.122161499999997</v>
      </c>
      <c r="K729">
        <f t="shared" si="39"/>
        <v>49.122161499999997</v>
      </c>
    </row>
    <row r="730" spans="2:11" x14ac:dyDescent="0.25">
      <c r="B730" s="1">
        <v>45947</v>
      </c>
      <c r="C730" t="s">
        <v>12</v>
      </c>
      <c r="E730" t="s">
        <v>15</v>
      </c>
      <c r="F730" t="s">
        <v>106</v>
      </c>
      <c r="G730" s="2">
        <v>5.5E-2</v>
      </c>
      <c r="H730">
        <f t="shared" si="40"/>
        <v>2.8056850000000004</v>
      </c>
      <c r="I730" s="2">
        <v>20.5</v>
      </c>
      <c r="J730">
        <f t="shared" si="38"/>
        <v>57.516542500000007</v>
      </c>
      <c r="K730">
        <f t="shared" si="39"/>
        <v>57.516542500000007</v>
      </c>
    </row>
    <row r="731" spans="2:11" x14ac:dyDescent="0.25">
      <c r="B731" s="1">
        <v>45947</v>
      </c>
      <c r="C731" t="s">
        <v>12</v>
      </c>
      <c r="E731" t="s">
        <v>16</v>
      </c>
      <c r="F731" t="s">
        <v>107</v>
      </c>
      <c r="G731" s="2">
        <v>3.1E-2</v>
      </c>
      <c r="H731">
        <f t="shared" si="40"/>
        <v>1.1677570000000002</v>
      </c>
      <c r="I731" s="2">
        <v>20.5</v>
      </c>
      <c r="J731">
        <f t="shared" si="38"/>
        <v>23.939018500000003</v>
      </c>
      <c r="K731">
        <f t="shared" si="39"/>
        <v>23.939018500000003</v>
      </c>
    </row>
    <row r="732" spans="2:11" x14ac:dyDescent="0.25">
      <c r="B732" s="1">
        <v>45947</v>
      </c>
      <c r="C732" t="s">
        <v>12</v>
      </c>
      <c r="E732" t="s">
        <v>17</v>
      </c>
      <c r="F732" t="s">
        <v>108</v>
      </c>
      <c r="G732" s="2">
        <v>1.4E-2</v>
      </c>
      <c r="H732">
        <f t="shared" si="40"/>
        <v>7.5580000000000647E-3</v>
      </c>
      <c r="I732" s="2">
        <v>20.5</v>
      </c>
      <c r="J732">
        <f t="shared" si="38"/>
        <v>0.15493900000000133</v>
      </c>
      <c r="K732">
        <f t="shared" si="39"/>
        <v>0.15493900000000133</v>
      </c>
    </row>
    <row r="733" spans="2:11" x14ac:dyDescent="0.25">
      <c r="B733" s="1">
        <v>45947</v>
      </c>
      <c r="C733" t="s">
        <v>12</v>
      </c>
      <c r="E733" t="s">
        <v>12</v>
      </c>
      <c r="F733" t="s">
        <v>109</v>
      </c>
      <c r="G733" s="2">
        <v>2.4E-2</v>
      </c>
      <c r="H733">
        <f t="shared" si="40"/>
        <v>0.69002800000000009</v>
      </c>
      <c r="I733" s="2">
        <v>20.5</v>
      </c>
      <c r="J733">
        <f t="shared" si="38"/>
        <v>14.145574000000002</v>
      </c>
      <c r="K733">
        <f t="shared" si="39"/>
        <v>14.145574000000002</v>
      </c>
    </row>
    <row r="734" spans="2:11" x14ac:dyDescent="0.25">
      <c r="B734" s="1">
        <v>45947</v>
      </c>
      <c r="C734" t="s">
        <v>12</v>
      </c>
      <c r="E734" t="s">
        <v>18</v>
      </c>
      <c r="F734" t="s">
        <v>110</v>
      </c>
      <c r="G734" s="2">
        <v>0</v>
      </c>
      <c r="H734">
        <f t="shared" si="40"/>
        <v>-0.94789999999999996</v>
      </c>
      <c r="I734" s="2">
        <v>20.5</v>
      </c>
      <c r="J734">
        <f t="shared" si="38"/>
        <v>-19.431950000000001</v>
      </c>
      <c r="K734">
        <f t="shared" si="39"/>
        <v>0</v>
      </c>
    </row>
    <row r="735" spans="2:11" x14ac:dyDescent="0.25">
      <c r="B735" s="1">
        <v>45947</v>
      </c>
      <c r="C735" t="s">
        <v>12</v>
      </c>
      <c r="E735" t="s">
        <v>19</v>
      </c>
      <c r="F735" t="s">
        <v>111</v>
      </c>
      <c r="G735" s="2">
        <v>0</v>
      </c>
      <c r="H735">
        <f t="shared" si="40"/>
        <v>-0.94789999999999996</v>
      </c>
      <c r="I735" s="2">
        <v>20.5</v>
      </c>
      <c r="J735">
        <f t="shared" si="38"/>
        <v>-19.431950000000001</v>
      </c>
      <c r="K735">
        <f t="shared" si="39"/>
        <v>0</v>
      </c>
    </row>
    <row r="736" spans="2:11" x14ac:dyDescent="0.25">
      <c r="B736" s="1">
        <v>45947</v>
      </c>
      <c r="C736" t="s">
        <v>12</v>
      </c>
      <c r="E736" t="s">
        <v>20</v>
      </c>
      <c r="F736" t="s">
        <v>112</v>
      </c>
      <c r="G736" s="2">
        <v>0</v>
      </c>
      <c r="H736">
        <f t="shared" si="40"/>
        <v>-0.94789999999999996</v>
      </c>
      <c r="I736" s="2">
        <v>20.5</v>
      </c>
      <c r="J736">
        <f t="shared" si="38"/>
        <v>-19.431950000000001</v>
      </c>
      <c r="K736">
        <f t="shared" si="39"/>
        <v>0</v>
      </c>
    </row>
    <row r="737" spans="2:11" x14ac:dyDescent="0.25">
      <c r="B737" s="1">
        <v>45947</v>
      </c>
      <c r="C737" t="s">
        <v>12</v>
      </c>
      <c r="E737" t="s">
        <v>21</v>
      </c>
      <c r="F737" t="s">
        <v>113</v>
      </c>
      <c r="G737" s="2">
        <v>0</v>
      </c>
      <c r="H737">
        <f t="shared" si="40"/>
        <v>-0.94789999999999996</v>
      </c>
      <c r="I737" s="2">
        <v>20.5</v>
      </c>
      <c r="J737">
        <f t="shared" si="38"/>
        <v>-19.431950000000001</v>
      </c>
      <c r="K737">
        <f t="shared" si="39"/>
        <v>0</v>
      </c>
    </row>
    <row r="738" spans="2:11" x14ac:dyDescent="0.25">
      <c r="B738" s="1">
        <v>45947</v>
      </c>
      <c r="C738" t="s">
        <v>12</v>
      </c>
      <c r="E738" t="s">
        <v>22</v>
      </c>
      <c r="F738" t="s">
        <v>114</v>
      </c>
      <c r="G738" s="2">
        <v>0</v>
      </c>
      <c r="H738">
        <f t="shared" si="40"/>
        <v>-0.94789999999999996</v>
      </c>
      <c r="I738" s="2">
        <v>20.5</v>
      </c>
      <c r="J738">
        <f t="shared" si="38"/>
        <v>-19.431950000000001</v>
      </c>
      <c r="K738">
        <f t="shared" si="39"/>
        <v>0</v>
      </c>
    </row>
    <row r="739" spans="2:11" x14ac:dyDescent="0.25">
      <c r="B739" s="1">
        <v>45947</v>
      </c>
      <c r="C739" t="s">
        <v>12</v>
      </c>
      <c r="E739" t="s">
        <v>23</v>
      </c>
      <c r="F739" t="s">
        <v>115</v>
      </c>
      <c r="G739" s="2">
        <v>1E-3</v>
      </c>
      <c r="H739">
        <f t="shared" si="40"/>
        <v>-0.87965300000000002</v>
      </c>
      <c r="I739" s="2">
        <v>20.5</v>
      </c>
      <c r="J739">
        <f t="shared" si="38"/>
        <v>-18.0328865</v>
      </c>
      <c r="K739">
        <f t="shared" si="39"/>
        <v>0</v>
      </c>
    </row>
    <row r="740" spans="2:11" x14ac:dyDescent="0.25">
      <c r="B740" s="1">
        <v>45947</v>
      </c>
      <c r="C740" t="s">
        <v>12</v>
      </c>
      <c r="E740" t="s">
        <v>24</v>
      </c>
      <c r="F740" t="s">
        <v>116</v>
      </c>
      <c r="G740" s="2">
        <v>7.0000000000000001E-3</v>
      </c>
      <c r="H740">
        <f t="shared" si="40"/>
        <v>-0.47017099999999995</v>
      </c>
      <c r="I740" s="2">
        <v>20.5</v>
      </c>
      <c r="J740">
        <f t="shared" si="38"/>
        <v>-9.6385054999999991</v>
      </c>
      <c r="K740">
        <f t="shared" si="39"/>
        <v>0</v>
      </c>
    </row>
    <row r="741" spans="2:11" x14ac:dyDescent="0.25">
      <c r="B741" s="1">
        <v>45947</v>
      </c>
      <c r="C741" t="s">
        <v>12</v>
      </c>
      <c r="E741" t="s">
        <v>25</v>
      </c>
      <c r="F741" t="s">
        <v>117</v>
      </c>
      <c r="G741" s="2">
        <v>1.2999999999999999E-2</v>
      </c>
      <c r="H741">
        <f t="shared" si="40"/>
        <v>-6.0688999999999993E-2</v>
      </c>
      <c r="I741" s="2">
        <v>20.5</v>
      </c>
      <c r="J741">
        <f t="shared" si="38"/>
        <v>-1.2441244999999999</v>
      </c>
      <c r="K741">
        <f t="shared" si="39"/>
        <v>0</v>
      </c>
    </row>
    <row r="742" spans="2:11" x14ac:dyDescent="0.25">
      <c r="B742" s="1">
        <v>45947</v>
      </c>
      <c r="C742" t="s">
        <v>12</v>
      </c>
      <c r="E742" t="s">
        <v>26</v>
      </c>
      <c r="F742" t="s">
        <v>118</v>
      </c>
      <c r="G742" s="2">
        <v>7.0000000000000001E-3</v>
      </c>
      <c r="H742">
        <f t="shared" si="40"/>
        <v>-0.47017099999999995</v>
      </c>
      <c r="I742" s="2">
        <v>20.5</v>
      </c>
      <c r="J742">
        <f t="shared" si="38"/>
        <v>-9.6385054999999991</v>
      </c>
      <c r="K742">
        <f t="shared" si="39"/>
        <v>0</v>
      </c>
    </row>
    <row r="743" spans="2:11" x14ac:dyDescent="0.25">
      <c r="B743" s="1">
        <v>45947</v>
      </c>
      <c r="C743" t="s">
        <v>12</v>
      </c>
      <c r="E743" t="s">
        <v>27</v>
      </c>
      <c r="F743" t="s">
        <v>119</v>
      </c>
      <c r="G743" s="2">
        <v>2E-3</v>
      </c>
      <c r="H743">
        <f t="shared" si="40"/>
        <v>-0.81140599999999996</v>
      </c>
      <c r="I743" s="2">
        <v>20.5</v>
      </c>
      <c r="J743">
        <f t="shared" si="38"/>
        <v>-16.633823</v>
      </c>
      <c r="K743">
        <f t="shared" si="39"/>
        <v>0</v>
      </c>
    </row>
    <row r="744" spans="2:11" x14ac:dyDescent="0.25">
      <c r="B744" s="1">
        <v>45947</v>
      </c>
      <c r="C744" t="s">
        <v>12</v>
      </c>
      <c r="E744" t="s">
        <v>28</v>
      </c>
      <c r="F744" t="s">
        <v>120</v>
      </c>
      <c r="G744" s="2">
        <v>0</v>
      </c>
      <c r="H744">
        <f t="shared" si="40"/>
        <v>-0.94789999999999996</v>
      </c>
      <c r="I744" s="2">
        <v>20.5</v>
      </c>
      <c r="J744">
        <f t="shared" si="38"/>
        <v>-19.431950000000001</v>
      </c>
      <c r="K744">
        <f t="shared" si="39"/>
        <v>0</v>
      </c>
    </row>
    <row r="745" spans="2:11" x14ac:dyDescent="0.25">
      <c r="B745" s="1">
        <v>45947</v>
      </c>
      <c r="C745" t="s">
        <v>12</v>
      </c>
      <c r="E745" t="s">
        <v>29</v>
      </c>
      <c r="F745" t="s">
        <v>121</v>
      </c>
      <c r="G745" s="2">
        <v>0</v>
      </c>
      <c r="H745">
        <f t="shared" si="40"/>
        <v>-0.94789999999999996</v>
      </c>
      <c r="I745" s="2">
        <v>20.5</v>
      </c>
      <c r="J745">
        <f t="shared" si="38"/>
        <v>-19.431950000000001</v>
      </c>
      <c r="K745">
        <f t="shared" si="39"/>
        <v>0</v>
      </c>
    </row>
    <row r="746" spans="2:11" x14ac:dyDescent="0.25">
      <c r="B746" s="1">
        <v>45947</v>
      </c>
      <c r="C746" t="s">
        <v>30</v>
      </c>
      <c r="E746" t="s">
        <v>13</v>
      </c>
      <c r="F746" t="s">
        <v>122</v>
      </c>
      <c r="G746" s="2">
        <v>5.2999999999999999E-2</v>
      </c>
      <c r="H746">
        <f t="shared" si="40"/>
        <v>2.6691909999999996</v>
      </c>
      <c r="I746" s="2">
        <v>20.5</v>
      </c>
      <c r="J746">
        <f t="shared" si="38"/>
        <v>54.718415499999992</v>
      </c>
      <c r="K746">
        <f t="shared" si="39"/>
        <v>54.718415499999992</v>
      </c>
    </row>
    <row r="747" spans="2:11" x14ac:dyDescent="0.25">
      <c r="B747" s="1">
        <v>45947</v>
      </c>
      <c r="C747" t="s">
        <v>30</v>
      </c>
      <c r="E747" t="s">
        <v>14</v>
      </c>
      <c r="F747" t="s">
        <v>123</v>
      </c>
      <c r="G747" s="2">
        <v>5.6000000000000001E-2</v>
      </c>
      <c r="H747">
        <f t="shared" si="40"/>
        <v>2.8739319999999999</v>
      </c>
      <c r="I747" s="2">
        <v>20.5</v>
      </c>
      <c r="J747">
        <f t="shared" si="38"/>
        <v>58.915605999999997</v>
      </c>
      <c r="K747">
        <f t="shared" si="39"/>
        <v>58.915605999999997</v>
      </c>
    </row>
    <row r="748" spans="2:11" x14ac:dyDescent="0.25">
      <c r="B748" s="1">
        <v>45947</v>
      </c>
      <c r="C748" t="s">
        <v>30</v>
      </c>
      <c r="E748" t="s">
        <v>15</v>
      </c>
      <c r="F748" t="s">
        <v>124</v>
      </c>
      <c r="G748" s="2">
        <v>6.5000000000000002E-2</v>
      </c>
      <c r="H748">
        <f t="shared" si="40"/>
        <v>3.4881550000000008</v>
      </c>
      <c r="I748" s="2">
        <v>20.5</v>
      </c>
      <c r="J748">
        <f t="shared" si="38"/>
        <v>71.507177500000012</v>
      </c>
      <c r="K748">
        <f t="shared" si="39"/>
        <v>71.507177500000012</v>
      </c>
    </row>
    <row r="749" spans="2:11" x14ac:dyDescent="0.25">
      <c r="B749" s="1">
        <v>45947</v>
      </c>
      <c r="C749" t="s">
        <v>30</v>
      </c>
      <c r="E749" t="s">
        <v>16</v>
      </c>
      <c r="F749" t="s">
        <v>125</v>
      </c>
      <c r="G749" s="2">
        <v>1.6E-2</v>
      </c>
      <c r="H749">
        <f t="shared" si="40"/>
        <v>0.14405200000000007</v>
      </c>
      <c r="I749" s="2">
        <v>20.5</v>
      </c>
      <c r="J749">
        <f t="shared" si="38"/>
        <v>2.9530660000000015</v>
      </c>
      <c r="K749">
        <f t="shared" si="39"/>
        <v>2.9530660000000015</v>
      </c>
    </row>
    <row r="750" spans="2:11" x14ac:dyDescent="0.25">
      <c r="B750" s="1">
        <v>45947</v>
      </c>
      <c r="C750" t="s">
        <v>30</v>
      </c>
      <c r="E750" t="s">
        <v>17</v>
      </c>
      <c r="F750" t="s">
        <v>126</v>
      </c>
      <c r="G750" s="2">
        <v>0</v>
      </c>
      <c r="H750">
        <f t="shared" si="40"/>
        <v>-0.94789999999999996</v>
      </c>
      <c r="I750" s="2">
        <v>20.5</v>
      </c>
      <c r="J750">
        <f t="shared" si="38"/>
        <v>-19.431950000000001</v>
      </c>
      <c r="K750">
        <f t="shared" si="39"/>
        <v>0</v>
      </c>
    </row>
    <row r="751" spans="2:11" x14ac:dyDescent="0.25">
      <c r="B751" s="1">
        <v>45947</v>
      </c>
      <c r="C751" t="s">
        <v>30</v>
      </c>
      <c r="E751" t="s">
        <v>12</v>
      </c>
      <c r="F751" t="s">
        <v>127</v>
      </c>
      <c r="G751" s="2">
        <v>8.0000000000000002E-3</v>
      </c>
      <c r="H751">
        <f t="shared" si="40"/>
        <v>-0.40192399999999995</v>
      </c>
      <c r="I751" s="2">
        <v>20.5</v>
      </c>
      <c r="J751">
        <f t="shared" si="38"/>
        <v>-8.2394419999999986</v>
      </c>
      <c r="K751">
        <f t="shared" si="39"/>
        <v>0</v>
      </c>
    </row>
    <row r="752" spans="2:11" x14ac:dyDescent="0.25">
      <c r="B752" s="1">
        <v>45947</v>
      </c>
      <c r="C752" t="s">
        <v>30</v>
      </c>
      <c r="E752" t="s">
        <v>18</v>
      </c>
      <c r="F752" t="s">
        <v>128</v>
      </c>
      <c r="G752" s="2">
        <v>1.2999999999999999E-2</v>
      </c>
      <c r="H752">
        <f t="shared" si="40"/>
        <v>-6.0688999999999993E-2</v>
      </c>
      <c r="I752" s="2">
        <v>20.5</v>
      </c>
      <c r="J752">
        <f t="shared" si="38"/>
        <v>-1.2441244999999999</v>
      </c>
      <c r="K752">
        <f t="shared" si="39"/>
        <v>0</v>
      </c>
    </row>
    <row r="753" spans="2:11" x14ac:dyDescent="0.25">
      <c r="B753" s="1">
        <v>45947</v>
      </c>
      <c r="C753" t="s">
        <v>30</v>
      </c>
      <c r="E753" t="s">
        <v>19</v>
      </c>
      <c r="F753" t="s">
        <v>129</v>
      </c>
      <c r="G753" s="2">
        <v>0</v>
      </c>
      <c r="H753">
        <f t="shared" si="40"/>
        <v>-0.94789999999999996</v>
      </c>
      <c r="I753" s="2">
        <v>20.5</v>
      </c>
      <c r="J753">
        <f t="shared" si="38"/>
        <v>-19.431950000000001</v>
      </c>
      <c r="K753">
        <f t="shared" si="39"/>
        <v>0</v>
      </c>
    </row>
    <row r="754" spans="2:11" x14ac:dyDescent="0.25">
      <c r="B754" s="1">
        <v>45947</v>
      </c>
      <c r="C754" t="s">
        <v>30</v>
      </c>
      <c r="E754" t="s">
        <v>20</v>
      </c>
      <c r="F754" t="s">
        <v>130</v>
      </c>
      <c r="G754" s="2">
        <v>0</v>
      </c>
      <c r="H754">
        <f t="shared" si="40"/>
        <v>-0.94789999999999996</v>
      </c>
      <c r="I754" s="2">
        <v>20.5</v>
      </c>
      <c r="J754">
        <f t="shared" si="38"/>
        <v>-19.431950000000001</v>
      </c>
      <c r="K754">
        <f t="shared" si="39"/>
        <v>0</v>
      </c>
    </row>
    <row r="755" spans="2:11" x14ac:dyDescent="0.25">
      <c r="B755" s="1">
        <v>45947</v>
      </c>
      <c r="C755" t="s">
        <v>30</v>
      </c>
      <c r="E755" t="s">
        <v>21</v>
      </c>
      <c r="F755" t="s">
        <v>131</v>
      </c>
      <c r="G755" s="2">
        <v>2E-3</v>
      </c>
      <c r="H755">
        <f t="shared" si="40"/>
        <v>-0.81140599999999996</v>
      </c>
      <c r="I755" s="2">
        <v>20.5</v>
      </c>
      <c r="J755">
        <f t="shared" si="38"/>
        <v>-16.633823</v>
      </c>
      <c r="K755">
        <f t="shared" si="39"/>
        <v>0</v>
      </c>
    </row>
    <row r="756" spans="2:11" x14ac:dyDescent="0.25">
      <c r="B756" s="1">
        <v>45947</v>
      </c>
      <c r="C756" t="s">
        <v>30</v>
      </c>
      <c r="E756" t="s">
        <v>22</v>
      </c>
      <c r="F756" t="s">
        <v>132</v>
      </c>
      <c r="G756" s="2">
        <v>0</v>
      </c>
      <c r="H756">
        <f t="shared" si="40"/>
        <v>-0.94789999999999996</v>
      </c>
      <c r="I756" s="2">
        <v>20.5</v>
      </c>
      <c r="J756">
        <f t="shared" si="38"/>
        <v>-19.431950000000001</v>
      </c>
      <c r="K756">
        <f t="shared" si="39"/>
        <v>0</v>
      </c>
    </row>
    <row r="757" spans="2:11" x14ac:dyDescent="0.25">
      <c r="B757" s="1">
        <v>45947</v>
      </c>
      <c r="C757" t="s">
        <v>30</v>
      </c>
      <c r="E757" t="s">
        <v>23</v>
      </c>
      <c r="F757" t="s">
        <v>133</v>
      </c>
      <c r="G757" s="2">
        <v>0</v>
      </c>
      <c r="H757">
        <f t="shared" si="40"/>
        <v>-0.94789999999999996</v>
      </c>
      <c r="I757" s="2">
        <v>20.5</v>
      </c>
      <c r="J757">
        <f t="shared" si="38"/>
        <v>-19.431950000000001</v>
      </c>
      <c r="K757">
        <f t="shared" si="39"/>
        <v>0</v>
      </c>
    </row>
    <row r="758" spans="2:11" x14ac:dyDescent="0.25">
      <c r="B758" s="1">
        <v>45947</v>
      </c>
      <c r="C758" t="s">
        <v>30</v>
      </c>
      <c r="E758" t="s">
        <v>24</v>
      </c>
      <c r="F758" t="s">
        <v>134</v>
      </c>
      <c r="G758" s="2">
        <v>7.3999999999999996E-2</v>
      </c>
      <c r="H758">
        <f t="shared" si="40"/>
        <v>4.1023779999999999</v>
      </c>
      <c r="I758" s="2">
        <v>20.5</v>
      </c>
      <c r="J758">
        <f t="shared" si="38"/>
        <v>84.098748999999998</v>
      </c>
      <c r="K758">
        <f t="shared" si="39"/>
        <v>84.098748999999998</v>
      </c>
    </row>
    <row r="759" spans="2:11" x14ac:dyDescent="0.25">
      <c r="B759" s="1">
        <v>45947</v>
      </c>
      <c r="C759" t="s">
        <v>30</v>
      </c>
      <c r="E759" t="s">
        <v>25</v>
      </c>
      <c r="F759" t="s">
        <v>135</v>
      </c>
      <c r="G759" s="2">
        <v>0.05</v>
      </c>
      <c r="H759">
        <f t="shared" si="40"/>
        <v>2.4644500000000003</v>
      </c>
      <c r="I759" s="2">
        <v>20.5</v>
      </c>
      <c r="J759">
        <f t="shared" si="38"/>
        <v>50.521225000000008</v>
      </c>
      <c r="K759">
        <f t="shared" si="39"/>
        <v>50.521225000000008</v>
      </c>
    </row>
    <row r="760" spans="2:11" x14ac:dyDescent="0.25">
      <c r="B760" s="1">
        <v>45947</v>
      </c>
      <c r="C760" t="s">
        <v>30</v>
      </c>
      <c r="E760" t="s">
        <v>26</v>
      </c>
      <c r="F760" t="s">
        <v>136</v>
      </c>
      <c r="G760" s="2">
        <v>4.2999999999999997E-2</v>
      </c>
      <c r="H760">
        <f t="shared" si="40"/>
        <v>1.986721</v>
      </c>
      <c r="I760" s="2">
        <v>20.5</v>
      </c>
      <c r="J760">
        <f t="shared" si="38"/>
        <v>40.727780500000001</v>
      </c>
      <c r="K760">
        <f t="shared" si="39"/>
        <v>40.727780500000001</v>
      </c>
    </row>
    <row r="761" spans="2:11" x14ac:dyDescent="0.25">
      <c r="B761" s="1">
        <v>45947</v>
      </c>
      <c r="C761" t="s">
        <v>30</v>
      </c>
      <c r="E761" t="s">
        <v>27</v>
      </c>
      <c r="F761" t="s">
        <v>137</v>
      </c>
      <c r="G761" s="2">
        <v>1.9E-2</v>
      </c>
      <c r="H761">
        <f t="shared" si="40"/>
        <v>0.34879299999999991</v>
      </c>
      <c r="I761" s="2">
        <v>20.5</v>
      </c>
      <c r="J761">
        <f t="shared" si="38"/>
        <v>7.1502564999999985</v>
      </c>
      <c r="K761">
        <f t="shared" si="39"/>
        <v>7.1502564999999985</v>
      </c>
    </row>
    <row r="762" spans="2:11" x14ac:dyDescent="0.25">
      <c r="B762" s="1">
        <v>45947</v>
      </c>
      <c r="C762" t="s">
        <v>30</v>
      </c>
      <c r="E762" t="s">
        <v>28</v>
      </c>
      <c r="F762" t="s">
        <v>138</v>
      </c>
      <c r="G762" s="2">
        <v>1.9E-2</v>
      </c>
      <c r="H762">
        <f t="shared" si="40"/>
        <v>0.34879299999999991</v>
      </c>
      <c r="I762" s="2">
        <v>20.5</v>
      </c>
      <c r="J762">
        <f t="shared" si="38"/>
        <v>7.1502564999999985</v>
      </c>
      <c r="K762">
        <f t="shared" si="39"/>
        <v>7.1502564999999985</v>
      </c>
    </row>
    <row r="763" spans="2:11" x14ac:dyDescent="0.25">
      <c r="B763" s="1">
        <v>45947</v>
      </c>
      <c r="C763" t="s">
        <v>30</v>
      </c>
      <c r="E763" t="s">
        <v>29</v>
      </c>
      <c r="F763" t="s">
        <v>139</v>
      </c>
      <c r="G763" s="2">
        <v>1.0999999999999999E-2</v>
      </c>
      <c r="H763">
        <f t="shared" si="40"/>
        <v>-0.197183</v>
      </c>
      <c r="I763" s="2">
        <v>20.5</v>
      </c>
      <c r="J763">
        <f t="shared" si="38"/>
        <v>-4.0422514999999999</v>
      </c>
      <c r="K763">
        <f t="shared" si="39"/>
        <v>0</v>
      </c>
    </row>
    <row r="764" spans="2:11" x14ac:dyDescent="0.25">
      <c r="B764" s="1">
        <v>46005</v>
      </c>
      <c r="C764" t="s">
        <v>12</v>
      </c>
      <c r="E764" t="s">
        <v>13</v>
      </c>
      <c r="F764" t="s">
        <v>140</v>
      </c>
      <c r="G764" s="2">
        <v>0</v>
      </c>
      <c r="H764">
        <f t="shared" si="40"/>
        <v>-0.94789999999999996</v>
      </c>
      <c r="I764" s="2">
        <v>20.5</v>
      </c>
      <c r="J764">
        <f t="shared" si="38"/>
        <v>-19.431950000000001</v>
      </c>
      <c r="K764">
        <f t="shared" si="39"/>
        <v>0</v>
      </c>
    </row>
    <row r="765" spans="2:11" x14ac:dyDescent="0.25">
      <c r="B765" s="1">
        <v>46005</v>
      </c>
      <c r="C765" t="s">
        <v>12</v>
      </c>
      <c r="E765" t="s">
        <v>14</v>
      </c>
      <c r="F765" t="s">
        <v>141</v>
      </c>
      <c r="G765" s="2">
        <v>0</v>
      </c>
      <c r="H765">
        <f t="shared" si="40"/>
        <v>-0.94789999999999996</v>
      </c>
      <c r="I765" s="2">
        <v>20.5</v>
      </c>
      <c r="J765">
        <f t="shared" si="38"/>
        <v>-19.431950000000001</v>
      </c>
      <c r="K765">
        <f t="shared" si="39"/>
        <v>0</v>
      </c>
    </row>
    <row r="766" spans="2:11" x14ac:dyDescent="0.25">
      <c r="B766" s="1">
        <v>46005</v>
      </c>
      <c r="C766" t="s">
        <v>12</v>
      </c>
      <c r="E766" t="s">
        <v>15</v>
      </c>
      <c r="F766" t="s">
        <v>142</v>
      </c>
      <c r="G766" s="2">
        <v>0</v>
      </c>
      <c r="H766">
        <f t="shared" si="40"/>
        <v>-0.94789999999999996</v>
      </c>
      <c r="I766" s="2">
        <v>20.5</v>
      </c>
      <c r="J766">
        <f t="shared" si="38"/>
        <v>-19.431950000000001</v>
      </c>
      <c r="K766">
        <f t="shared" si="39"/>
        <v>0</v>
      </c>
    </row>
    <row r="767" spans="2:11" x14ac:dyDescent="0.25">
      <c r="B767" s="1">
        <v>46005</v>
      </c>
      <c r="C767" t="s">
        <v>12</v>
      </c>
      <c r="E767" t="s">
        <v>16</v>
      </c>
      <c r="F767" t="s">
        <v>143</v>
      </c>
      <c r="G767" s="2">
        <v>6.0000000000000001E-3</v>
      </c>
      <c r="H767">
        <f t="shared" si="40"/>
        <v>-0.53841799999999995</v>
      </c>
      <c r="I767" s="2">
        <v>20.5</v>
      </c>
      <c r="J767">
        <f t="shared" si="38"/>
        <v>-11.037569</v>
      </c>
      <c r="K767">
        <f t="shared" si="39"/>
        <v>0</v>
      </c>
    </row>
    <row r="768" spans="2:11" x14ac:dyDescent="0.25">
      <c r="B768" s="1">
        <v>46005</v>
      </c>
      <c r="C768" t="s">
        <v>12</v>
      </c>
      <c r="E768" t="s">
        <v>17</v>
      </c>
      <c r="F768" t="s">
        <v>144</v>
      </c>
      <c r="G768" s="2">
        <v>0</v>
      </c>
      <c r="H768">
        <f t="shared" si="40"/>
        <v>-0.94789999999999996</v>
      </c>
      <c r="I768" s="2">
        <v>20.5</v>
      </c>
      <c r="J768">
        <f t="shared" si="38"/>
        <v>-19.431950000000001</v>
      </c>
      <c r="K768">
        <f t="shared" si="39"/>
        <v>0</v>
      </c>
    </row>
    <row r="769" spans="2:11" x14ac:dyDescent="0.25">
      <c r="B769" s="1">
        <v>46005</v>
      </c>
      <c r="C769" t="s">
        <v>12</v>
      </c>
      <c r="E769" t="s">
        <v>12</v>
      </c>
      <c r="F769" t="s">
        <v>145</v>
      </c>
      <c r="G769" s="2">
        <v>0</v>
      </c>
      <c r="H769">
        <f t="shared" si="40"/>
        <v>-0.94789999999999996</v>
      </c>
      <c r="I769" s="2">
        <v>20.5</v>
      </c>
      <c r="J769">
        <f t="shared" si="38"/>
        <v>-19.431950000000001</v>
      </c>
      <c r="K769">
        <f t="shared" si="39"/>
        <v>0</v>
      </c>
    </row>
    <row r="770" spans="2:11" x14ac:dyDescent="0.25">
      <c r="B770" s="1">
        <v>46005</v>
      </c>
      <c r="C770" t="s">
        <v>12</v>
      </c>
      <c r="E770" t="s">
        <v>18</v>
      </c>
      <c r="F770" t="s">
        <v>146</v>
      </c>
      <c r="G770" s="2">
        <v>0</v>
      </c>
      <c r="H770">
        <f t="shared" si="40"/>
        <v>-0.94789999999999996</v>
      </c>
      <c r="I770" s="2">
        <v>20.5</v>
      </c>
      <c r="J770">
        <f t="shared" si="38"/>
        <v>-19.431950000000001</v>
      </c>
      <c r="K770">
        <f t="shared" si="39"/>
        <v>0</v>
      </c>
    </row>
    <row r="771" spans="2:11" x14ac:dyDescent="0.25">
      <c r="B771" s="1">
        <v>46005</v>
      </c>
      <c r="C771" t="s">
        <v>12</v>
      </c>
      <c r="E771" t="s">
        <v>19</v>
      </c>
      <c r="F771" t="s">
        <v>147</v>
      </c>
      <c r="G771" s="2">
        <v>0</v>
      </c>
      <c r="H771">
        <f t="shared" si="40"/>
        <v>-0.94789999999999996</v>
      </c>
      <c r="I771" s="2">
        <v>20.5</v>
      </c>
      <c r="J771">
        <f t="shared" si="38"/>
        <v>-19.431950000000001</v>
      </c>
      <c r="K771">
        <f t="shared" si="39"/>
        <v>0</v>
      </c>
    </row>
    <row r="772" spans="2:11" x14ac:dyDescent="0.25">
      <c r="B772" s="1">
        <v>46005</v>
      </c>
      <c r="C772" t="s">
        <v>12</v>
      </c>
      <c r="E772" t="s">
        <v>20</v>
      </c>
      <c r="F772" t="s">
        <v>148</v>
      </c>
      <c r="G772" s="2">
        <v>0</v>
      </c>
      <c r="H772">
        <f t="shared" si="40"/>
        <v>-0.94789999999999996</v>
      </c>
      <c r="I772" s="2">
        <v>20.5</v>
      </c>
      <c r="J772">
        <f t="shared" si="38"/>
        <v>-19.431950000000001</v>
      </c>
      <c r="K772">
        <f t="shared" si="39"/>
        <v>0</v>
      </c>
    </row>
    <row r="773" spans="2:11" x14ac:dyDescent="0.25">
      <c r="B773" s="1">
        <v>46005</v>
      </c>
      <c r="C773" t="s">
        <v>12</v>
      </c>
      <c r="E773" t="s">
        <v>21</v>
      </c>
      <c r="F773" t="s">
        <v>149</v>
      </c>
      <c r="G773" s="2">
        <v>0</v>
      </c>
      <c r="H773">
        <f t="shared" si="40"/>
        <v>-0.94789999999999996</v>
      </c>
      <c r="I773" s="2">
        <v>20.5</v>
      </c>
      <c r="J773">
        <f t="shared" si="38"/>
        <v>-19.431950000000001</v>
      </c>
      <c r="K773">
        <f t="shared" si="39"/>
        <v>0</v>
      </c>
    </row>
    <row r="774" spans="2:11" x14ac:dyDescent="0.25">
      <c r="B774" s="1">
        <v>46005</v>
      </c>
      <c r="C774" t="s">
        <v>12</v>
      </c>
      <c r="E774" t="s">
        <v>22</v>
      </c>
      <c r="F774" t="s">
        <v>150</v>
      </c>
      <c r="G774" s="2">
        <v>0</v>
      </c>
      <c r="H774">
        <f t="shared" si="40"/>
        <v>-0.94789999999999996</v>
      </c>
      <c r="I774" s="2">
        <v>20.5</v>
      </c>
      <c r="J774">
        <f t="shared" si="38"/>
        <v>-19.431950000000001</v>
      </c>
      <c r="K774">
        <f t="shared" si="39"/>
        <v>0</v>
      </c>
    </row>
    <row r="775" spans="2:11" x14ac:dyDescent="0.25">
      <c r="B775" s="1">
        <v>46005</v>
      </c>
      <c r="C775" t="s">
        <v>12</v>
      </c>
      <c r="E775" t="s">
        <v>23</v>
      </c>
      <c r="F775" t="s">
        <v>151</v>
      </c>
      <c r="G775" s="2">
        <v>0</v>
      </c>
      <c r="H775">
        <f t="shared" si="40"/>
        <v>-0.94789999999999996</v>
      </c>
      <c r="I775" s="2">
        <v>20.5</v>
      </c>
      <c r="J775">
        <f t="shared" si="38"/>
        <v>-19.431950000000001</v>
      </c>
      <c r="K775">
        <f t="shared" si="39"/>
        <v>0</v>
      </c>
    </row>
    <row r="776" spans="2:11" x14ac:dyDescent="0.25">
      <c r="B776" s="1">
        <v>46005</v>
      </c>
      <c r="C776" t="s">
        <v>12</v>
      </c>
      <c r="E776" t="s">
        <v>24</v>
      </c>
      <c r="F776" t="s">
        <v>152</v>
      </c>
      <c r="G776" s="2">
        <v>0</v>
      </c>
      <c r="H776">
        <f t="shared" si="40"/>
        <v>-0.94789999999999996</v>
      </c>
      <c r="I776" s="2">
        <v>20.5</v>
      </c>
      <c r="J776">
        <f t="shared" si="38"/>
        <v>-19.431950000000001</v>
      </c>
      <c r="K776">
        <f t="shared" si="39"/>
        <v>0</v>
      </c>
    </row>
    <row r="777" spans="2:11" x14ac:dyDescent="0.25">
      <c r="B777" s="1">
        <v>46005</v>
      </c>
      <c r="C777" t="s">
        <v>12</v>
      </c>
      <c r="E777" t="s">
        <v>25</v>
      </c>
      <c r="F777" t="s">
        <v>153</v>
      </c>
      <c r="G777" s="2">
        <v>0</v>
      </c>
      <c r="H777">
        <f t="shared" si="40"/>
        <v>-0.94789999999999996</v>
      </c>
      <c r="I777" s="2">
        <v>20.5</v>
      </c>
      <c r="J777">
        <f t="shared" si="38"/>
        <v>-19.431950000000001</v>
      </c>
      <c r="K777">
        <f t="shared" si="39"/>
        <v>0</v>
      </c>
    </row>
    <row r="778" spans="2:11" x14ac:dyDescent="0.25">
      <c r="B778" s="1">
        <v>46005</v>
      </c>
      <c r="C778" t="s">
        <v>12</v>
      </c>
      <c r="E778" t="s">
        <v>26</v>
      </c>
      <c r="F778" t="s">
        <v>154</v>
      </c>
      <c r="G778" s="2">
        <v>0</v>
      </c>
      <c r="H778">
        <f t="shared" si="40"/>
        <v>-0.94789999999999996</v>
      </c>
      <c r="I778" s="2">
        <v>20.5</v>
      </c>
      <c r="J778">
        <f t="shared" si="38"/>
        <v>-19.431950000000001</v>
      </c>
      <c r="K778">
        <f t="shared" si="39"/>
        <v>0</v>
      </c>
    </row>
    <row r="779" spans="2:11" x14ac:dyDescent="0.25">
      <c r="B779" s="1">
        <v>46005</v>
      </c>
      <c r="C779" t="s">
        <v>12</v>
      </c>
      <c r="E779" t="s">
        <v>27</v>
      </c>
      <c r="F779" t="s">
        <v>155</v>
      </c>
      <c r="G779" s="2">
        <v>0</v>
      </c>
      <c r="H779">
        <f t="shared" si="40"/>
        <v>-0.94789999999999996</v>
      </c>
      <c r="I779" s="2">
        <v>20.5</v>
      </c>
      <c r="J779">
        <f t="shared" si="38"/>
        <v>-19.431950000000001</v>
      </c>
      <c r="K779">
        <f t="shared" si="39"/>
        <v>0</v>
      </c>
    </row>
    <row r="780" spans="2:11" x14ac:dyDescent="0.25">
      <c r="B780" s="1">
        <v>46005</v>
      </c>
      <c r="C780" t="s">
        <v>12</v>
      </c>
      <c r="E780" t="s">
        <v>28</v>
      </c>
      <c r="F780" t="s">
        <v>156</v>
      </c>
      <c r="G780" s="2">
        <v>5.0000000000000001E-3</v>
      </c>
      <c r="H780">
        <f t="shared" si="40"/>
        <v>-0.60666500000000001</v>
      </c>
      <c r="I780" s="2">
        <v>20.5</v>
      </c>
      <c r="J780">
        <f t="shared" si="38"/>
        <v>-12.4366325</v>
      </c>
      <c r="K780">
        <f t="shared" si="39"/>
        <v>0</v>
      </c>
    </row>
    <row r="781" spans="2:11" x14ac:dyDescent="0.25">
      <c r="B781" s="1">
        <v>46005</v>
      </c>
      <c r="C781" t="s">
        <v>12</v>
      </c>
      <c r="E781" t="s">
        <v>29</v>
      </c>
      <c r="F781" t="s">
        <v>157</v>
      </c>
      <c r="G781" s="2">
        <v>0</v>
      </c>
      <c r="H781">
        <f t="shared" si="40"/>
        <v>-0.94789999999999996</v>
      </c>
      <c r="I781" s="2">
        <v>20.5</v>
      </c>
      <c r="J781">
        <f t="shared" si="38"/>
        <v>-19.431950000000001</v>
      </c>
      <c r="K781">
        <f t="shared" si="39"/>
        <v>0</v>
      </c>
    </row>
    <row r="782" spans="2:11" x14ac:dyDescent="0.25">
      <c r="B782" s="1">
        <v>46005</v>
      </c>
      <c r="C782" t="s">
        <v>30</v>
      </c>
      <c r="E782" t="s">
        <v>13</v>
      </c>
      <c r="F782" t="s">
        <v>158</v>
      </c>
      <c r="G782" s="2">
        <v>0</v>
      </c>
      <c r="H782">
        <f t="shared" si="40"/>
        <v>-0.94789999999999996</v>
      </c>
      <c r="I782" s="2">
        <v>20.5</v>
      </c>
      <c r="J782">
        <f t="shared" si="38"/>
        <v>-19.431950000000001</v>
      </c>
      <c r="K782">
        <f t="shared" si="39"/>
        <v>0</v>
      </c>
    </row>
    <row r="783" spans="2:11" x14ac:dyDescent="0.25">
      <c r="B783" s="1">
        <v>46005</v>
      </c>
      <c r="C783" t="s">
        <v>30</v>
      </c>
      <c r="E783" t="s">
        <v>14</v>
      </c>
      <c r="F783" t="s">
        <v>159</v>
      </c>
      <c r="G783" s="2">
        <v>0</v>
      </c>
      <c r="H783">
        <f t="shared" si="40"/>
        <v>-0.94789999999999996</v>
      </c>
      <c r="I783" s="2">
        <v>20.5</v>
      </c>
      <c r="J783">
        <f t="shared" si="38"/>
        <v>-19.431950000000001</v>
      </c>
      <c r="K783">
        <f t="shared" si="39"/>
        <v>0</v>
      </c>
    </row>
    <row r="784" spans="2:11" x14ac:dyDescent="0.25">
      <c r="B784" s="1">
        <v>46005</v>
      </c>
      <c r="C784" t="s">
        <v>30</v>
      </c>
      <c r="E784" t="s">
        <v>15</v>
      </c>
      <c r="F784" t="s">
        <v>160</v>
      </c>
      <c r="G784" s="2">
        <v>0</v>
      </c>
      <c r="H784">
        <f t="shared" si="40"/>
        <v>-0.94789999999999996</v>
      </c>
      <c r="I784" s="2">
        <v>20.5</v>
      </c>
      <c r="J784">
        <f t="shared" si="38"/>
        <v>-19.431950000000001</v>
      </c>
      <c r="K784">
        <f t="shared" si="39"/>
        <v>0</v>
      </c>
    </row>
    <row r="785" spans="2:11" x14ac:dyDescent="0.25">
      <c r="B785" s="1">
        <v>46005</v>
      </c>
      <c r="C785" t="s">
        <v>30</v>
      </c>
      <c r="E785" t="s">
        <v>16</v>
      </c>
      <c r="F785" t="s">
        <v>161</v>
      </c>
      <c r="G785" s="2">
        <v>0</v>
      </c>
      <c r="H785">
        <f t="shared" si="40"/>
        <v>-0.94789999999999996</v>
      </c>
      <c r="I785" s="2">
        <v>20.5</v>
      </c>
      <c r="J785">
        <f t="shared" si="38"/>
        <v>-19.431950000000001</v>
      </c>
      <c r="K785">
        <f t="shared" si="39"/>
        <v>0</v>
      </c>
    </row>
    <row r="786" spans="2:11" x14ac:dyDescent="0.25">
      <c r="B786" s="1">
        <v>46005</v>
      </c>
      <c r="C786" t="s">
        <v>30</v>
      </c>
      <c r="E786" t="s">
        <v>17</v>
      </c>
      <c r="F786" t="s">
        <v>162</v>
      </c>
      <c r="G786" s="2">
        <v>0</v>
      </c>
      <c r="H786">
        <f t="shared" si="40"/>
        <v>-0.94789999999999996</v>
      </c>
      <c r="I786" s="2">
        <v>20.5</v>
      </c>
      <c r="J786">
        <f t="shared" si="38"/>
        <v>-19.431950000000001</v>
      </c>
      <c r="K786">
        <f t="shared" si="39"/>
        <v>0</v>
      </c>
    </row>
    <row r="787" spans="2:11" x14ac:dyDescent="0.25">
      <c r="B787" s="1">
        <v>46005</v>
      </c>
      <c r="C787" t="s">
        <v>30</v>
      </c>
      <c r="E787" t="s">
        <v>12</v>
      </c>
      <c r="F787" t="s">
        <v>163</v>
      </c>
      <c r="G787" s="2">
        <v>0</v>
      </c>
      <c r="H787">
        <f t="shared" si="40"/>
        <v>-0.94789999999999996</v>
      </c>
      <c r="I787" s="2">
        <v>20.5</v>
      </c>
      <c r="J787">
        <f t="shared" si="38"/>
        <v>-19.431950000000001</v>
      </c>
      <c r="K787">
        <f t="shared" si="39"/>
        <v>0</v>
      </c>
    </row>
    <row r="788" spans="2:11" x14ac:dyDescent="0.25">
      <c r="B788" s="1">
        <v>46005</v>
      </c>
      <c r="C788" t="s">
        <v>30</v>
      </c>
      <c r="E788" t="s">
        <v>18</v>
      </c>
      <c r="F788" t="s">
        <v>164</v>
      </c>
      <c r="G788" s="2">
        <v>0</v>
      </c>
      <c r="H788">
        <f t="shared" si="40"/>
        <v>-0.94789999999999996</v>
      </c>
      <c r="I788" s="2">
        <v>20.5</v>
      </c>
      <c r="J788">
        <f t="shared" si="38"/>
        <v>-19.431950000000001</v>
      </c>
      <c r="K788">
        <f t="shared" si="39"/>
        <v>0</v>
      </c>
    </row>
    <row r="789" spans="2:11" x14ac:dyDescent="0.25">
      <c r="B789" s="1">
        <v>46005</v>
      </c>
      <c r="C789" t="s">
        <v>30</v>
      </c>
      <c r="E789" t="s">
        <v>19</v>
      </c>
      <c r="F789" t="s">
        <v>165</v>
      </c>
      <c r="G789" s="2">
        <v>0</v>
      </c>
      <c r="H789">
        <f t="shared" si="40"/>
        <v>-0.94789999999999996</v>
      </c>
      <c r="I789" s="2">
        <v>20.5</v>
      </c>
      <c r="J789">
        <f t="shared" si="38"/>
        <v>-19.431950000000001</v>
      </c>
      <c r="K789">
        <f t="shared" si="39"/>
        <v>0</v>
      </c>
    </row>
    <row r="790" spans="2:11" x14ac:dyDescent="0.25">
      <c r="B790" s="1">
        <v>46005</v>
      </c>
      <c r="C790" t="s">
        <v>30</v>
      </c>
      <c r="E790" t="s">
        <v>20</v>
      </c>
      <c r="F790" t="s">
        <v>166</v>
      </c>
      <c r="G790" s="2">
        <v>0</v>
      </c>
      <c r="H790">
        <f t="shared" si="40"/>
        <v>-0.94789999999999996</v>
      </c>
      <c r="I790" s="2">
        <v>20.5</v>
      </c>
      <c r="J790">
        <f t="shared" si="38"/>
        <v>-19.431950000000001</v>
      </c>
      <c r="K790">
        <f t="shared" si="39"/>
        <v>0</v>
      </c>
    </row>
    <row r="791" spans="2:11" x14ac:dyDescent="0.25">
      <c r="B791" s="1">
        <v>46005</v>
      </c>
      <c r="C791" t="s">
        <v>30</v>
      </c>
      <c r="E791" t="s">
        <v>21</v>
      </c>
      <c r="F791" t="s">
        <v>167</v>
      </c>
      <c r="G791" s="2">
        <v>0</v>
      </c>
      <c r="H791">
        <f t="shared" si="40"/>
        <v>-0.94789999999999996</v>
      </c>
      <c r="I791" s="2">
        <v>20.5</v>
      </c>
      <c r="J791">
        <f t="shared" si="38"/>
        <v>-19.431950000000001</v>
      </c>
      <c r="K791">
        <f t="shared" si="39"/>
        <v>0</v>
      </c>
    </row>
    <row r="792" spans="2:11" x14ac:dyDescent="0.25">
      <c r="B792" s="1">
        <v>46005</v>
      </c>
      <c r="C792" t="s">
        <v>30</v>
      </c>
      <c r="E792" t="s">
        <v>22</v>
      </c>
      <c r="F792" t="s">
        <v>168</v>
      </c>
      <c r="G792" s="2">
        <v>0</v>
      </c>
      <c r="H792">
        <f t="shared" si="40"/>
        <v>-0.94789999999999996</v>
      </c>
      <c r="I792" s="2">
        <v>20.5</v>
      </c>
      <c r="J792">
        <f t="shared" ref="J792:J855" si="41">H792*I792</f>
        <v>-19.431950000000001</v>
      </c>
      <c r="K792">
        <f t="shared" ref="K792:K855" si="42">MAX(J792,0)</f>
        <v>0</v>
      </c>
    </row>
    <row r="793" spans="2:11" x14ac:dyDescent="0.25">
      <c r="B793" s="1">
        <v>46005</v>
      </c>
      <c r="C793" t="s">
        <v>30</v>
      </c>
      <c r="E793" t="s">
        <v>23</v>
      </c>
      <c r="F793" t="s">
        <v>169</v>
      </c>
      <c r="G793" s="2">
        <v>0</v>
      </c>
      <c r="H793">
        <f t="shared" ref="H793:H856" si="43">(68.247*G793)-0.9479</f>
        <v>-0.94789999999999996</v>
      </c>
      <c r="I793" s="2">
        <v>20.5</v>
      </c>
      <c r="J793">
        <f t="shared" si="41"/>
        <v>-19.431950000000001</v>
      </c>
      <c r="K793">
        <f t="shared" si="42"/>
        <v>0</v>
      </c>
    </row>
    <row r="794" spans="2:11" x14ac:dyDescent="0.25">
      <c r="B794" s="1">
        <v>46005</v>
      </c>
      <c r="C794" t="s">
        <v>30</v>
      </c>
      <c r="E794" t="s">
        <v>24</v>
      </c>
      <c r="F794" t="s">
        <v>170</v>
      </c>
      <c r="G794" s="2">
        <v>0</v>
      </c>
      <c r="H794">
        <f t="shared" si="43"/>
        <v>-0.94789999999999996</v>
      </c>
      <c r="I794" s="2">
        <v>20.5</v>
      </c>
      <c r="J794">
        <f t="shared" si="41"/>
        <v>-19.431950000000001</v>
      </c>
      <c r="K794">
        <f t="shared" si="42"/>
        <v>0</v>
      </c>
    </row>
    <row r="795" spans="2:11" x14ac:dyDescent="0.25">
      <c r="B795" s="1">
        <v>46005</v>
      </c>
      <c r="C795" t="s">
        <v>30</v>
      </c>
      <c r="E795" t="s">
        <v>25</v>
      </c>
      <c r="F795" t="s">
        <v>171</v>
      </c>
      <c r="G795" s="2">
        <v>0</v>
      </c>
      <c r="H795">
        <f t="shared" si="43"/>
        <v>-0.94789999999999996</v>
      </c>
      <c r="I795" s="2">
        <v>20.5</v>
      </c>
      <c r="J795">
        <f t="shared" si="41"/>
        <v>-19.431950000000001</v>
      </c>
      <c r="K795">
        <f t="shared" si="42"/>
        <v>0</v>
      </c>
    </row>
    <row r="796" spans="2:11" x14ac:dyDescent="0.25">
      <c r="B796" s="1">
        <v>46005</v>
      </c>
      <c r="C796" t="s">
        <v>30</v>
      </c>
      <c r="E796" t="s">
        <v>26</v>
      </c>
      <c r="F796" t="s">
        <v>172</v>
      </c>
      <c r="G796" s="2">
        <v>0</v>
      </c>
      <c r="H796">
        <f t="shared" si="43"/>
        <v>-0.94789999999999996</v>
      </c>
      <c r="I796" s="2">
        <v>20.5</v>
      </c>
      <c r="J796">
        <f t="shared" si="41"/>
        <v>-19.431950000000001</v>
      </c>
      <c r="K796">
        <f t="shared" si="42"/>
        <v>0</v>
      </c>
    </row>
    <row r="797" spans="2:11" x14ac:dyDescent="0.25">
      <c r="B797" s="1">
        <v>46005</v>
      </c>
      <c r="C797" t="s">
        <v>30</v>
      </c>
      <c r="E797" t="s">
        <v>27</v>
      </c>
      <c r="F797" t="s">
        <v>173</v>
      </c>
      <c r="G797" s="2">
        <v>0</v>
      </c>
      <c r="H797">
        <f t="shared" si="43"/>
        <v>-0.94789999999999996</v>
      </c>
      <c r="I797" s="2">
        <v>20.5</v>
      </c>
      <c r="J797">
        <f t="shared" si="41"/>
        <v>-19.431950000000001</v>
      </c>
      <c r="K797">
        <f t="shared" si="42"/>
        <v>0</v>
      </c>
    </row>
    <row r="798" spans="2:11" x14ac:dyDescent="0.25">
      <c r="B798" s="1">
        <v>46005</v>
      </c>
      <c r="C798" t="s">
        <v>30</v>
      </c>
      <c r="E798" t="s">
        <v>28</v>
      </c>
      <c r="F798" t="s">
        <v>174</v>
      </c>
      <c r="G798" s="2">
        <v>0</v>
      </c>
      <c r="H798">
        <f t="shared" si="43"/>
        <v>-0.94789999999999996</v>
      </c>
      <c r="I798" s="2">
        <v>20.5</v>
      </c>
      <c r="J798">
        <f t="shared" si="41"/>
        <v>-19.431950000000001</v>
      </c>
      <c r="K798">
        <f t="shared" si="42"/>
        <v>0</v>
      </c>
    </row>
    <row r="799" spans="2:11" x14ac:dyDescent="0.25">
      <c r="B799" s="1">
        <v>46005</v>
      </c>
      <c r="C799" t="s">
        <v>30</v>
      </c>
      <c r="E799" t="s">
        <v>29</v>
      </c>
      <c r="F799" t="s">
        <v>175</v>
      </c>
      <c r="G799" s="2">
        <v>0</v>
      </c>
      <c r="H799">
        <f t="shared" si="43"/>
        <v>-0.94789999999999996</v>
      </c>
      <c r="I799" s="2">
        <v>20.5</v>
      </c>
      <c r="J799">
        <f t="shared" si="41"/>
        <v>-19.431950000000001</v>
      </c>
      <c r="K799">
        <f t="shared" si="42"/>
        <v>0</v>
      </c>
    </row>
    <row r="800" spans="2:11" x14ac:dyDescent="0.25">
      <c r="B800" s="1">
        <v>46004</v>
      </c>
      <c r="C800" t="s">
        <v>93</v>
      </c>
      <c r="E800" t="s">
        <v>73</v>
      </c>
      <c r="F800" t="s">
        <v>176</v>
      </c>
      <c r="G800" s="2">
        <v>0</v>
      </c>
      <c r="H800">
        <f t="shared" si="43"/>
        <v>-0.94789999999999996</v>
      </c>
      <c r="I800" s="2">
        <v>20.5</v>
      </c>
      <c r="J800">
        <f t="shared" si="41"/>
        <v>-19.431950000000001</v>
      </c>
      <c r="K800">
        <f t="shared" si="42"/>
        <v>0</v>
      </c>
    </row>
    <row r="801" spans="2:11" x14ac:dyDescent="0.25">
      <c r="B801" s="1">
        <v>46004</v>
      </c>
      <c r="C801" t="s">
        <v>93</v>
      </c>
      <c r="E801" t="s">
        <v>74</v>
      </c>
      <c r="F801" t="s">
        <v>177</v>
      </c>
      <c r="G801" s="2">
        <v>0</v>
      </c>
      <c r="H801">
        <f t="shared" si="43"/>
        <v>-0.94789999999999996</v>
      </c>
      <c r="I801" s="2">
        <v>20.5</v>
      </c>
      <c r="J801">
        <f t="shared" si="41"/>
        <v>-19.431950000000001</v>
      </c>
      <c r="K801">
        <f t="shared" si="42"/>
        <v>0</v>
      </c>
    </row>
    <row r="802" spans="2:11" x14ac:dyDescent="0.25">
      <c r="B802" s="1">
        <v>46004</v>
      </c>
      <c r="C802" t="s">
        <v>93</v>
      </c>
      <c r="E802" t="s">
        <v>75</v>
      </c>
      <c r="F802" t="s">
        <v>178</v>
      </c>
      <c r="G802" s="2">
        <v>0</v>
      </c>
      <c r="H802">
        <f t="shared" si="43"/>
        <v>-0.94789999999999996</v>
      </c>
      <c r="I802" s="2">
        <v>20.5</v>
      </c>
      <c r="J802">
        <f t="shared" si="41"/>
        <v>-19.431950000000001</v>
      </c>
      <c r="K802">
        <f t="shared" si="42"/>
        <v>0</v>
      </c>
    </row>
    <row r="803" spans="2:11" x14ac:dyDescent="0.25">
      <c r="B803" s="1">
        <v>46004</v>
      </c>
      <c r="C803" t="s">
        <v>93</v>
      </c>
      <c r="E803" t="s">
        <v>76</v>
      </c>
      <c r="F803" t="s">
        <v>179</v>
      </c>
      <c r="G803" s="2">
        <v>0</v>
      </c>
      <c r="H803">
        <f t="shared" si="43"/>
        <v>-0.94789999999999996</v>
      </c>
      <c r="I803" s="2">
        <v>20.5</v>
      </c>
      <c r="J803">
        <f t="shared" si="41"/>
        <v>-19.431950000000001</v>
      </c>
      <c r="K803">
        <f t="shared" si="42"/>
        <v>0</v>
      </c>
    </row>
    <row r="804" spans="2:11" x14ac:dyDescent="0.25">
      <c r="B804" s="1">
        <v>46004</v>
      </c>
      <c r="C804" t="s">
        <v>93</v>
      </c>
      <c r="E804" t="s">
        <v>77</v>
      </c>
      <c r="F804" t="s">
        <v>180</v>
      </c>
      <c r="G804" s="2">
        <v>0</v>
      </c>
      <c r="H804">
        <f t="shared" si="43"/>
        <v>-0.94789999999999996</v>
      </c>
      <c r="I804" s="2">
        <v>20.5</v>
      </c>
      <c r="J804">
        <f t="shared" si="41"/>
        <v>-19.431950000000001</v>
      </c>
      <c r="K804">
        <f t="shared" si="42"/>
        <v>0</v>
      </c>
    </row>
    <row r="805" spans="2:11" x14ac:dyDescent="0.25">
      <c r="B805" s="1">
        <v>46004</v>
      </c>
      <c r="C805" t="s">
        <v>93</v>
      </c>
      <c r="E805" t="s">
        <v>78</v>
      </c>
      <c r="F805" t="s">
        <v>181</v>
      </c>
      <c r="G805" s="2">
        <v>0</v>
      </c>
      <c r="H805">
        <f t="shared" si="43"/>
        <v>-0.94789999999999996</v>
      </c>
      <c r="I805" s="2">
        <v>20.5</v>
      </c>
      <c r="J805">
        <f t="shared" si="41"/>
        <v>-19.431950000000001</v>
      </c>
      <c r="K805">
        <f t="shared" si="42"/>
        <v>0</v>
      </c>
    </row>
    <row r="806" spans="2:11" x14ac:dyDescent="0.25">
      <c r="B806" s="1">
        <v>46004</v>
      </c>
      <c r="C806" t="s">
        <v>93</v>
      </c>
      <c r="E806" t="s">
        <v>79</v>
      </c>
      <c r="F806" t="s">
        <v>182</v>
      </c>
      <c r="G806" s="2">
        <v>0</v>
      </c>
      <c r="H806">
        <f t="shared" si="43"/>
        <v>-0.94789999999999996</v>
      </c>
      <c r="I806" s="2">
        <v>20.5</v>
      </c>
      <c r="J806">
        <f t="shared" si="41"/>
        <v>-19.431950000000001</v>
      </c>
      <c r="K806">
        <f t="shared" si="42"/>
        <v>0</v>
      </c>
    </row>
    <row r="807" spans="2:11" x14ac:dyDescent="0.25">
      <c r="B807" s="1">
        <v>46004</v>
      </c>
      <c r="C807" t="s">
        <v>93</v>
      </c>
      <c r="E807" t="s">
        <v>80</v>
      </c>
      <c r="F807" t="s">
        <v>183</v>
      </c>
      <c r="G807" s="2">
        <v>0</v>
      </c>
      <c r="H807">
        <f t="shared" si="43"/>
        <v>-0.94789999999999996</v>
      </c>
      <c r="I807" s="2">
        <v>20.5</v>
      </c>
      <c r="J807">
        <f t="shared" si="41"/>
        <v>-19.431950000000001</v>
      </c>
      <c r="K807">
        <f t="shared" si="42"/>
        <v>0</v>
      </c>
    </row>
    <row r="808" spans="2:11" x14ac:dyDescent="0.25">
      <c r="B808" s="1">
        <v>46004</v>
      </c>
      <c r="C808" t="s">
        <v>93</v>
      </c>
      <c r="E808" t="s">
        <v>81</v>
      </c>
      <c r="F808" t="s">
        <v>184</v>
      </c>
      <c r="G808" s="2">
        <v>0</v>
      </c>
      <c r="H808">
        <f t="shared" si="43"/>
        <v>-0.94789999999999996</v>
      </c>
      <c r="I808" s="2">
        <v>20.5</v>
      </c>
      <c r="J808">
        <f t="shared" si="41"/>
        <v>-19.431950000000001</v>
      </c>
      <c r="K808">
        <f t="shared" si="42"/>
        <v>0</v>
      </c>
    </row>
    <row r="809" spans="2:11" x14ac:dyDescent="0.25">
      <c r="B809" s="1">
        <v>46004</v>
      </c>
      <c r="C809" t="s">
        <v>93</v>
      </c>
      <c r="D809" t="s">
        <v>98</v>
      </c>
      <c r="E809" t="s">
        <v>95</v>
      </c>
      <c r="F809" t="s">
        <v>185</v>
      </c>
      <c r="G809" s="2">
        <v>0</v>
      </c>
      <c r="H809">
        <f t="shared" si="43"/>
        <v>-0.94789999999999996</v>
      </c>
      <c r="I809" s="2">
        <v>1</v>
      </c>
      <c r="J809">
        <f t="shared" si="41"/>
        <v>-0.94789999999999996</v>
      </c>
      <c r="K809">
        <f t="shared" si="42"/>
        <v>0</v>
      </c>
    </row>
    <row r="810" spans="2:11" x14ac:dyDescent="0.25">
      <c r="B810" s="1">
        <v>46004</v>
      </c>
      <c r="C810" t="s">
        <v>93</v>
      </c>
      <c r="D810" t="s">
        <v>98</v>
      </c>
      <c r="E810" t="s">
        <v>96</v>
      </c>
      <c r="F810" t="s">
        <v>186</v>
      </c>
      <c r="G810" s="2">
        <v>0</v>
      </c>
      <c r="H810">
        <f t="shared" si="43"/>
        <v>-0.94789999999999996</v>
      </c>
      <c r="I810" s="2">
        <v>1</v>
      </c>
      <c r="J810">
        <f t="shared" si="41"/>
        <v>-0.94789999999999996</v>
      </c>
      <c r="K810">
        <f t="shared" si="42"/>
        <v>0</v>
      </c>
    </row>
    <row r="811" spans="2:11" x14ac:dyDescent="0.25">
      <c r="B811" s="1">
        <v>46004</v>
      </c>
      <c r="C811" t="s">
        <v>93</v>
      </c>
      <c r="D811" t="s">
        <v>98</v>
      </c>
      <c r="E811" t="s">
        <v>97</v>
      </c>
      <c r="F811" t="s">
        <v>187</v>
      </c>
      <c r="G811" s="2">
        <v>0</v>
      </c>
      <c r="H811">
        <f t="shared" si="43"/>
        <v>-0.94789999999999996</v>
      </c>
      <c r="I811" s="2">
        <v>1</v>
      </c>
      <c r="J811">
        <f t="shared" si="41"/>
        <v>-0.94789999999999996</v>
      </c>
      <c r="K811">
        <f t="shared" si="42"/>
        <v>0</v>
      </c>
    </row>
    <row r="812" spans="2:11" x14ac:dyDescent="0.25">
      <c r="B812" s="1">
        <v>46004</v>
      </c>
      <c r="C812" t="s">
        <v>94</v>
      </c>
      <c r="E812" t="s">
        <v>73</v>
      </c>
      <c r="F812" t="s">
        <v>188</v>
      </c>
      <c r="G812" s="2">
        <v>0</v>
      </c>
      <c r="H812">
        <f t="shared" si="43"/>
        <v>-0.94789999999999996</v>
      </c>
      <c r="I812" s="2">
        <v>20.5</v>
      </c>
      <c r="J812">
        <f t="shared" si="41"/>
        <v>-19.431950000000001</v>
      </c>
      <c r="K812">
        <f t="shared" si="42"/>
        <v>0</v>
      </c>
    </row>
    <row r="813" spans="2:11" x14ac:dyDescent="0.25">
      <c r="B813" s="1">
        <v>46004</v>
      </c>
      <c r="C813" t="s">
        <v>94</v>
      </c>
      <c r="E813" t="s">
        <v>74</v>
      </c>
      <c r="F813" t="s">
        <v>189</v>
      </c>
      <c r="G813" s="2">
        <v>0</v>
      </c>
      <c r="H813">
        <f t="shared" si="43"/>
        <v>-0.94789999999999996</v>
      </c>
      <c r="I813" s="2">
        <v>20.5</v>
      </c>
      <c r="J813">
        <f t="shared" si="41"/>
        <v>-19.431950000000001</v>
      </c>
      <c r="K813">
        <f t="shared" si="42"/>
        <v>0</v>
      </c>
    </row>
    <row r="814" spans="2:11" x14ac:dyDescent="0.25">
      <c r="B814" s="1">
        <v>46004</v>
      </c>
      <c r="C814" t="s">
        <v>94</v>
      </c>
      <c r="E814" t="s">
        <v>75</v>
      </c>
      <c r="F814" t="s">
        <v>190</v>
      </c>
      <c r="G814" s="2">
        <v>0</v>
      </c>
      <c r="H814">
        <f t="shared" si="43"/>
        <v>-0.94789999999999996</v>
      </c>
      <c r="I814" s="2">
        <v>20.5</v>
      </c>
      <c r="J814">
        <f t="shared" si="41"/>
        <v>-19.431950000000001</v>
      </c>
      <c r="K814">
        <f t="shared" si="42"/>
        <v>0</v>
      </c>
    </row>
    <row r="815" spans="2:11" x14ac:dyDescent="0.25">
      <c r="B815" s="1">
        <v>46004</v>
      </c>
      <c r="C815" t="s">
        <v>94</v>
      </c>
      <c r="E815" t="s">
        <v>76</v>
      </c>
      <c r="F815" t="s">
        <v>191</v>
      </c>
      <c r="G815" s="2">
        <v>0</v>
      </c>
      <c r="H815">
        <f t="shared" si="43"/>
        <v>-0.94789999999999996</v>
      </c>
      <c r="I815" s="2">
        <v>20.5</v>
      </c>
      <c r="J815">
        <f t="shared" si="41"/>
        <v>-19.431950000000001</v>
      </c>
      <c r="K815">
        <f t="shared" si="42"/>
        <v>0</v>
      </c>
    </row>
    <row r="816" spans="2:11" x14ac:dyDescent="0.25">
      <c r="B816" s="1">
        <v>46004</v>
      </c>
      <c r="C816" t="s">
        <v>94</v>
      </c>
      <c r="E816" t="s">
        <v>77</v>
      </c>
      <c r="F816" t="s">
        <v>192</v>
      </c>
      <c r="G816" s="2">
        <v>0</v>
      </c>
      <c r="H816">
        <f t="shared" si="43"/>
        <v>-0.94789999999999996</v>
      </c>
      <c r="I816" s="2">
        <v>20.5</v>
      </c>
      <c r="J816">
        <f t="shared" si="41"/>
        <v>-19.431950000000001</v>
      </c>
      <c r="K816">
        <f t="shared" si="42"/>
        <v>0</v>
      </c>
    </row>
    <row r="817" spans="2:11" x14ac:dyDescent="0.25">
      <c r="B817" s="1">
        <v>46004</v>
      </c>
      <c r="C817" t="s">
        <v>94</v>
      </c>
      <c r="E817" t="s">
        <v>78</v>
      </c>
      <c r="F817" t="s">
        <v>193</v>
      </c>
      <c r="G817" s="2">
        <v>0</v>
      </c>
      <c r="H817">
        <f t="shared" si="43"/>
        <v>-0.94789999999999996</v>
      </c>
      <c r="I817" s="2">
        <v>20.5</v>
      </c>
      <c r="J817">
        <f t="shared" si="41"/>
        <v>-19.431950000000001</v>
      </c>
      <c r="K817">
        <f t="shared" si="42"/>
        <v>0</v>
      </c>
    </row>
    <row r="818" spans="2:11" x14ac:dyDescent="0.25">
      <c r="B818" s="1">
        <v>46004</v>
      </c>
      <c r="C818" t="s">
        <v>94</v>
      </c>
      <c r="E818" t="s">
        <v>79</v>
      </c>
      <c r="F818" t="s">
        <v>194</v>
      </c>
      <c r="G818" s="2">
        <v>0</v>
      </c>
      <c r="H818">
        <f t="shared" si="43"/>
        <v>-0.94789999999999996</v>
      </c>
      <c r="I818" s="2">
        <v>20.5</v>
      </c>
      <c r="J818">
        <f t="shared" si="41"/>
        <v>-19.431950000000001</v>
      </c>
      <c r="K818">
        <f t="shared" si="42"/>
        <v>0</v>
      </c>
    </row>
    <row r="819" spans="2:11" x14ac:dyDescent="0.25">
      <c r="B819" s="1">
        <v>46004</v>
      </c>
      <c r="C819" t="s">
        <v>94</v>
      </c>
      <c r="E819" t="s">
        <v>80</v>
      </c>
      <c r="F819" t="s">
        <v>195</v>
      </c>
      <c r="G819" s="2">
        <v>0</v>
      </c>
      <c r="H819">
        <f t="shared" si="43"/>
        <v>-0.94789999999999996</v>
      </c>
      <c r="I819" s="2">
        <v>20.5</v>
      </c>
      <c r="J819">
        <f t="shared" si="41"/>
        <v>-19.431950000000001</v>
      </c>
      <c r="K819">
        <f t="shared" si="42"/>
        <v>0</v>
      </c>
    </row>
    <row r="820" spans="2:11" x14ac:dyDescent="0.25">
      <c r="B820" s="1">
        <v>46004</v>
      </c>
      <c r="C820" t="s">
        <v>94</v>
      </c>
      <c r="E820" t="s">
        <v>81</v>
      </c>
      <c r="F820" t="s">
        <v>196</v>
      </c>
      <c r="G820" s="2">
        <v>0</v>
      </c>
      <c r="H820">
        <f t="shared" si="43"/>
        <v>-0.94789999999999996</v>
      </c>
      <c r="I820" s="2">
        <v>20.5</v>
      </c>
      <c r="J820">
        <f t="shared" si="41"/>
        <v>-19.431950000000001</v>
      </c>
      <c r="K820">
        <f t="shared" si="42"/>
        <v>0</v>
      </c>
    </row>
    <row r="821" spans="2:11" x14ac:dyDescent="0.25">
      <c r="B821" s="1">
        <v>46004</v>
      </c>
      <c r="C821" t="s">
        <v>94</v>
      </c>
      <c r="D821" t="s">
        <v>98</v>
      </c>
      <c r="E821" t="s">
        <v>95</v>
      </c>
      <c r="F821" t="s">
        <v>197</v>
      </c>
      <c r="G821" s="2">
        <v>0</v>
      </c>
      <c r="H821">
        <f t="shared" si="43"/>
        <v>-0.94789999999999996</v>
      </c>
      <c r="I821" s="2">
        <v>1</v>
      </c>
      <c r="J821">
        <f t="shared" si="41"/>
        <v>-0.94789999999999996</v>
      </c>
      <c r="K821">
        <f t="shared" si="42"/>
        <v>0</v>
      </c>
    </row>
    <row r="822" spans="2:11" x14ac:dyDescent="0.25">
      <c r="B822" s="1">
        <v>46004</v>
      </c>
      <c r="C822" t="s">
        <v>94</v>
      </c>
      <c r="D822" t="s">
        <v>98</v>
      </c>
      <c r="E822" t="s">
        <v>96</v>
      </c>
      <c r="F822" t="s">
        <v>198</v>
      </c>
      <c r="G822" s="2">
        <v>0</v>
      </c>
      <c r="H822">
        <f t="shared" si="43"/>
        <v>-0.94789999999999996</v>
      </c>
      <c r="I822" s="2">
        <v>1</v>
      </c>
      <c r="J822">
        <f t="shared" si="41"/>
        <v>-0.94789999999999996</v>
      </c>
      <c r="K822">
        <f t="shared" si="42"/>
        <v>0</v>
      </c>
    </row>
    <row r="823" spans="2:11" x14ac:dyDescent="0.25">
      <c r="B823" s="1">
        <v>46004</v>
      </c>
      <c r="C823" t="s">
        <v>94</v>
      </c>
      <c r="D823" t="s">
        <v>98</v>
      </c>
      <c r="E823" t="s">
        <v>97</v>
      </c>
      <c r="F823" t="s">
        <v>199</v>
      </c>
      <c r="G823" s="2">
        <v>0</v>
      </c>
      <c r="H823">
        <f t="shared" si="43"/>
        <v>-0.94789999999999996</v>
      </c>
      <c r="I823" s="2">
        <v>1</v>
      </c>
      <c r="J823">
        <f t="shared" si="41"/>
        <v>-0.94789999999999996</v>
      </c>
      <c r="K823">
        <f t="shared" si="42"/>
        <v>0</v>
      </c>
    </row>
    <row r="824" spans="2:11" x14ac:dyDescent="0.25">
      <c r="B824" s="4">
        <v>46080</v>
      </c>
      <c r="C824" t="s">
        <v>12</v>
      </c>
      <c r="E824" t="s">
        <v>13</v>
      </c>
      <c r="F824" t="s">
        <v>200</v>
      </c>
      <c r="G824" s="2">
        <v>0</v>
      </c>
      <c r="H824">
        <f t="shared" si="43"/>
        <v>-0.94789999999999996</v>
      </c>
      <c r="I824" s="2">
        <v>20.5</v>
      </c>
      <c r="J824">
        <f t="shared" si="41"/>
        <v>-19.431950000000001</v>
      </c>
      <c r="K824">
        <f t="shared" si="42"/>
        <v>0</v>
      </c>
    </row>
    <row r="825" spans="2:11" x14ac:dyDescent="0.25">
      <c r="B825" s="4">
        <v>46080</v>
      </c>
      <c r="C825" t="s">
        <v>12</v>
      </c>
      <c r="E825" t="s">
        <v>14</v>
      </c>
      <c r="F825" t="s">
        <v>201</v>
      </c>
      <c r="G825" s="2">
        <v>0</v>
      </c>
      <c r="H825">
        <f t="shared" si="43"/>
        <v>-0.94789999999999996</v>
      </c>
      <c r="I825" s="2">
        <v>20.5</v>
      </c>
      <c r="J825">
        <f t="shared" si="41"/>
        <v>-19.431950000000001</v>
      </c>
      <c r="K825">
        <f t="shared" si="42"/>
        <v>0</v>
      </c>
    </row>
    <row r="826" spans="2:11" x14ac:dyDescent="0.25">
      <c r="B826" s="4">
        <v>46080</v>
      </c>
      <c r="C826" t="s">
        <v>12</v>
      </c>
      <c r="E826" t="s">
        <v>15</v>
      </c>
      <c r="F826" t="s">
        <v>202</v>
      </c>
      <c r="G826" s="2">
        <v>0</v>
      </c>
      <c r="H826">
        <f t="shared" si="43"/>
        <v>-0.94789999999999996</v>
      </c>
      <c r="I826" s="2">
        <v>20.5</v>
      </c>
      <c r="J826">
        <f t="shared" si="41"/>
        <v>-19.431950000000001</v>
      </c>
      <c r="K826">
        <f t="shared" si="42"/>
        <v>0</v>
      </c>
    </row>
    <row r="827" spans="2:11" x14ac:dyDescent="0.25">
      <c r="B827" s="4">
        <v>46080</v>
      </c>
      <c r="C827" t="s">
        <v>12</v>
      </c>
      <c r="E827" t="s">
        <v>16</v>
      </c>
      <c r="F827" t="s">
        <v>203</v>
      </c>
      <c r="G827" s="2">
        <v>0</v>
      </c>
      <c r="H827">
        <f t="shared" si="43"/>
        <v>-0.94789999999999996</v>
      </c>
      <c r="I827" s="2">
        <v>20.5</v>
      </c>
      <c r="J827">
        <f t="shared" si="41"/>
        <v>-19.431950000000001</v>
      </c>
      <c r="K827">
        <f t="shared" si="42"/>
        <v>0</v>
      </c>
    </row>
    <row r="828" spans="2:11" x14ac:dyDescent="0.25">
      <c r="B828" s="4">
        <v>46080</v>
      </c>
      <c r="C828" t="s">
        <v>12</v>
      </c>
      <c r="E828" t="s">
        <v>17</v>
      </c>
      <c r="F828" t="s">
        <v>204</v>
      </c>
      <c r="G828" s="2">
        <v>0</v>
      </c>
      <c r="H828">
        <f t="shared" si="43"/>
        <v>-0.94789999999999996</v>
      </c>
      <c r="I828" s="2">
        <v>20.5</v>
      </c>
      <c r="J828">
        <f t="shared" si="41"/>
        <v>-19.431950000000001</v>
      </c>
      <c r="K828">
        <f t="shared" si="42"/>
        <v>0</v>
      </c>
    </row>
    <row r="829" spans="2:11" x14ac:dyDescent="0.25">
      <c r="B829" s="4">
        <v>46080</v>
      </c>
      <c r="C829" t="s">
        <v>12</v>
      </c>
      <c r="E829" t="s">
        <v>12</v>
      </c>
      <c r="F829" t="s">
        <v>205</v>
      </c>
      <c r="G829" s="2">
        <v>0</v>
      </c>
      <c r="H829">
        <f t="shared" si="43"/>
        <v>-0.94789999999999996</v>
      </c>
      <c r="I829" s="2">
        <v>20.5</v>
      </c>
      <c r="J829">
        <f t="shared" si="41"/>
        <v>-19.431950000000001</v>
      </c>
      <c r="K829">
        <f t="shared" si="42"/>
        <v>0</v>
      </c>
    </row>
    <row r="830" spans="2:11" x14ac:dyDescent="0.25">
      <c r="B830" s="4">
        <v>46080</v>
      </c>
      <c r="C830" t="s">
        <v>12</v>
      </c>
      <c r="E830" t="s">
        <v>18</v>
      </c>
      <c r="F830" t="s">
        <v>206</v>
      </c>
      <c r="G830" s="2">
        <v>0</v>
      </c>
      <c r="H830">
        <f t="shared" si="43"/>
        <v>-0.94789999999999996</v>
      </c>
      <c r="I830" s="2">
        <v>20.5</v>
      </c>
      <c r="J830">
        <f t="shared" si="41"/>
        <v>-19.431950000000001</v>
      </c>
      <c r="K830">
        <f t="shared" si="42"/>
        <v>0</v>
      </c>
    </row>
    <row r="831" spans="2:11" x14ac:dyDescent="0.25">
      <c r="B831" s="4">
        <v>46080</v>
      </c>
      <c r="C831" t="s">
        <v>12</v>
      </c>
      <c r="E831" t="s">
        <v>19</v>
      </c>
      <c r="F831" t="s">
        <v>207</v>
      </c>
      <c r="G831" s="2">
        <v>0</v>
      </c>
      <c r="H831">
        <f t="shared" si="43"/>
        <v>-0.94789999999999996</v>
      </c>
      <c r="I831" s="2">
        <v>20.5</v>
      </c>
      <c r="J831">
        <f t="shared" si="41"/>
        <v>-19.431950000000001</v>
      </c>
      <c r="K831">
        <f t="shared" si="42"/>
        <v>0</v>
      </c>
    </row>
    <row r="832" spans="2:11" x14ac:dyDescent="0.25">
      <c r="B832" s="4">
        <v>46080</v>
      </c>
      <c r="C832" t="s">
        <v>12</v>
      </c>
      <c r="E832" t="s">
        <v>20</v>
      </c>
      <c r="F832" t="s">
        <v>208</v>
      </c>
      <c r="G832" s="2">
        <v>0</v>
      </c>
      <c r="H832">
        <f t="shared" si="43"/>
        <v>-0.94789999999999996</v>
      </c>
      <c r="I832" s="2">
        <v>20.5</v>
      </c>
      <c r="J832">
        <f t="shared" si="41"/>
        <v>-19.431950000000001</v>
      </c>
      <c r="K832">
        <f t="shared" si="42"/>
        <v>0</v>
      </c>
    </row>
    <row r="833" spans="2:11" x14ac:dyDescent="0.25">
      <c r="B833" s="4">
        <v>46080</v>
      </c>
      <c r="C833" t="s">
        <v>12</v>
      </c>
      <c r="E833" t="s">
        <v>21</v>
      </c>
      <c r="F833" t="s">
        <v>209</v>
      </c>
      <c r="G833" s="2">
        <v>0</v>
      </c>
      <c r="H833">
        <f t="shared" si="43"/>
        <v>-0.94789999999999996</v>
      </c>
      <c r="I833" s="2">
        <v>20.5</v>
      </c>
      <c r="J833">
        <f t="shared" si="41"/>
        <v>-19.431950000000001</v>
      </c>
      <c r="K833">
        <f t="shared" si="42"/>
        <v>0</v>
      </c>
    </row>
    <row r="834" spans="2:11" x14ac:dyDescent="0.25">
      <c r="B834" s="4">
        <v>46080</v>
      </c>
      <c r="C834" t="s">
        <v>12</v>
      </c>
      <c r="E834" t="s">
        <v>22</v>
      </c>
      <c r="F834" t="s">
        <v>210</v>
      </c>
      <c r="G834" s="2">
        <v>0</v>
      </c>
      <c r="H834">
        <f t="shared" si="43"/>
        <v>-0.94789999999999996</v>
      </c>
      <c r="I834" s="2">
        <v>20.5</v>
      </c>
      <c r="J834">
        <f t="shared" si="41"/>
        <v>-19.431950000000001</v>
      </c>
      <c r="K834">
        <f t="shared" si="42"/>
        <v>0</v>
      </c>
    </row>
    <row r="835" spans="2:11" x14ac:dyDescent="0.25">
      <c r="B835" s="4">
        <v>46080</v>
      </c>
      <c r="C835" t="s">
        <v>12</v>
      </c>
      <c r="E835" t="s">
        <v>23</v>
      </c>
      <c r="F835" t="s">
        <v>211</v>
      </c>
      <c r="G835" s="2">
        <v>0</v>
      </c>
      <c r="H835">
        <f t="shared" si="43"/>
        <v>-0.94789999999999996</v>
      </c>
      <c r="I835" s="2">
        <v>20.5</v>
      </c>
      <c r="J835">
        <f t="shared" si="41"/>
        <v>-19.431950000000001</v>
      </c>
      <c r="K835">
        <f t="shared" si="42"/>
        <v>0</v>
      </c>
    </row>
    <row r="836" spans="2:11" x14ac:dyDescent="0.25">
      <c r="B836" s="4">
        <v>46080</v>
      </c>
      <c r="C836" t="s">
        <v>12</v>
      </c>
      <c r="E836" t="s">
        <v>24</v>
      </c>
      <c r="F836" t="s">
        <v>212</v>
      </c>
      <c r="G836" s="2">
        <v>0</v>
      </c>
      <c r="H836">
        <f t="shared" si="43"/>
        <v>-0.94789999999999996</v>
      </c>
      <c r="I836" s="2">
        <v>20.5</v>
      </c>
      <c r="J836">
        <f t="shared" si="41"/>
        <v>-19.431950000000001</v>
      </c>
      <c r="K836">
        <f t="shared" si="42"/>
        <v>0</v>
      </c>
    </row>
    <row r="837" spans="2:11" x14ac:dyDescent="0.25">
      <c r="B837" s="4">
        <v>46080</v>
      </c>
      <c r="C837" t="s">
        <v>12</v>
      </c>
      <c r="E837" t="s">
        <v>25</v>
      </c>
      <c r="F837" t="s">
        <v>213</v>
      </c>
      <c r="G837" s="2">
        <v>0</v>
      </c>
      <c r="H837">
        <f t="shared" si="43"/>
        <v>-0.94789999999999996</v>
      </c>
      <c r="I837" s="2">
        <v>20.5</v>
      </c>
      <c r="J837">
        <f t="shared" si="41"/>
        <v>-19.431950000000001</v>
      </c>
      <c r="K837">
        <f t="shared" si="42"/>
        <v>0</v>
      </c>
    </row>
    <row r="838" spans="2:11" x14ac:dyDescent="0.25">
      <c r="B838" s="4">
        <v>46080</v>
      </c>
      <c r="C838" t="s">
        <v>12</v>
      </c>
      <c r="E838" t="s">
        <v>26</v>
      </c>
      <c r="F838" t="s">
        <v>214</v>
      </c>
      <c r="G838" s="2">
        <v>0</v>
      </c>
      <c r="H838">
        <f t="shared" si="43"/>
        <v>-0.94789999999999996</v>
      </c>
      <c r="I838" s="2">
        <v>20.5</v>
      </c>
      <c r="J838">
        <f t="shared" si="41"/>
        <v>-19.431950000000001</v>
      </c>
      <c r="K838">
        <f t="shared" si="42"/>
        <v>0</v>
      </c>
    </row>
    <row r="839" spans="2:11" x14ac:dyDescent="0.25">
      <c r="B839" s="4">
        <v>46080</v>
      </c>
      <c r="C839" t="s">
        <v>12</v>
      </c>
      <c r="E839" t="s">
        <v>27</v>
      </c>
      <c r="F839" t="s">
        <v>215</v>
      </c>
      <c r="G839" s="2">
        <v>0</v>
      </c>
      <c r="H839">
        <f t="shared" si="43"/>
        <v>-0.94789999999999996</v>
      </c>
      <c r="I839" s="2">
        <v>20.5</v>
      </c>
      <c r="J839">
        <f t="shared" si="41"/>
        <v>-19.431950000000001</v>
      </c>
      <c r="K839">
        <f t="shared" si="42"/>
        <v>0</v>
      </c>
    </row>
    <row r="840" spans="2:11" x14ac:dyDescent="0.25">
      <c r="B840" s="4">
        <v>46080</v>
      </c>
      <c r="C840" t="s">
        <v>12</v>
      </c>
      <c r="E840" t="s">
        <v>28</v>
      </c>
      <c r="F840" t="s">
        <v>216</v>
      </c>
      <c r="G840" s="2">
        <v>0</v>
      </c>
      <c r="H840">
        <f t="shared" si="43"/>
        <v>-0.94789999999999996</v>
      </c>
      <c r="I840" s="2">
        <v>20.5</v>
      </c>
      <c r="J840">
        <f t="shared" si="41"/>
        <v>-19.431950000000001</v>
      </c>
      <c r="K840">
        <f t="shared" si="42"/>
        <v>0</v>
      </c>
    </row>
    <row r="841" spans="2:11" x14ac:dyDescent="0.25">
      <c r="B841" s="4">
        <v>46080</v>
      </c>
      <c r="C841" t="s">
        <v>12</v>
      </c>
      <c r="E841" t="s">
        <v>29</v>
      </c>
      <c r="F841" t="s">
        <v>217</v>
      </c>
      <c r="G841" s="2">
        <v>0</v>
      </c>
      <c r="H841">
        <f t="shared" si="43"/>
        <v>-0.94789999999999996</v>
      </c>
      <c r="I841" s="2">
        <v>20.5</v>
      </c>
      <c r="J841">
        <f t="shared" si="41"/>
        <v>-19.431950000000001</v>
      </c>
      <c r="K841">
        <f t="shared" si="42"/>
        <v>0</v>
      </c>
    </row>
    <row r="842" spans="2:11" x14ac:dyDescent="0.25">
      <c r="B842" s="4">
        <v>46080</v>
      </c>
      <c r="C842" t="s">
        <v>30</v>
      </c>
      <c r="E842" t="s">
        <v>13</v>
      </c>
      <c r="F842" t="s">
        <v>218</v>
      </c>
      <c r="G842" s="2">
        <v>0</v>
      </c>
      <c r="H842">
        <f t="shared" si="43"/>
        <v>-0.94789999999999996</v>
      </c>
      <c r="I842" s="2">
        <v>20.5</v>
      </c>
      <c r="J842">
        <f t="shared" si="41"/>
        <v>-19.431950000000001</v>
      </c>
      <c r="K842">
        <f t="shared" si="42"/>
        <v>0</v>
      </c>
    </row>
    <row r="843" spans="2:11" x14ac:dyDescent="0.25">
      <c r="B843" s="4">
        <v>46080</v>
      </c>
      <c r="C843" t="s">
        <v>30</v>
      </c>
      <c r="E843" t="s">
        <v>14</v>
      </c>
      <c r="F843" t="s">
        <v>219</v>
      </c>
      <c r="G843" s="2">
        <v>0</v>
      </c>
      <c r="H843">
        <f t="shared" si="43"/>
        <v>-0.94789999999999996</v>
      </c>
      <c r="I843" s="2">
        <v>20.5</v>
      </c>
      <c r="J843">
        <f t="shared" si="41"/>
        <v>-19.431950000000001</v>
      </c>
      <c r="K843">
        <f t="shared" si="42"/>
        <v>0</v>
      </c>
    </row>
    <row r="844" spans="2:11" x14ac:dyDescent="0.25">
      <c r="B844" s="4">
        <v>46080</v>
      </c>
      <c r="C844" t="s">
        <v>30</v>
      </c>
      <c r="E844" t="s">
        <v>15</v>
      </c>
      <c r="F844" t="s">
        <v>220</v>
      </c>
      <c r="G844" s="2">
        <v>0</v>
      </c>
      <c r="H844">
        <f t="shared" si="43"/>
        <v>-0.94789999999999996</v>
      </c>
      <c r="I844" s="2">
        <v>20.5</v>
      </c>
      <c r="J844">
        <f t="shared" si="41"/>
        <v>-19.431950000000001</v>
      </c>
      <c r="K844">
        <f t="shared" si="42"/>
        <v>0</v>
      </c>
    </row>
    <row r="845" spans="2:11" x14ac:dyDescent="0.25">
      <c r="B845" s="4">
        <v>46080</v>
      </c>
      <c r="C845" t="s">
        <v>30</v>
      </c>
      <c r="E845" t="s">
        <v>16</v>
      </c>
      <c r="F845" t="s">
        <v>221</v>
      </c>
      <c r="G845" s="2">
        <v>0</v>
      </c>
      <c r="H845">
        <f t="shared" si="43"/>
        <v>-0.94789999999999996</v>
      </c>
      <c r="I845" s="2">
        <v>20.5</v>
      </c>
      <c r="J845">
        <f t="shared" si="41"/>
        <v>-19.431950000000001</v>
      </c>
      <c r="K845">
        <f t="shared" si="42"/>
        <v>0</v>
      </c>
    </row>
    <row r="846" spans="2:11" x14ac:dyDescent="0.25">
      <c r="B846" s="4">
        <v>46080</v>
      </c>
      <c r="C846" t="s">
        <v>30</v>
      </c>
      <c r="E846" t="s">
        <v>17</v>
      </c>
      <c r="F846" t="s">
        <v>222</v>
      </c>
      <c r="G846" s="2">
        <v>0</v>
      </c>
      <c r="H846">
        <f t="shared" si="43"/>
        <v>-0.94789999999999996</v>
      </c>
      <c r="I846" s="2">
        <v>20.5</v>
      </c>
      <c r="J846">
        <f t="shared" si="41"/>
        <v>-19.431950000000001</v>
      </c>
      <c r="K846">
        <f t="shared" si="42"/>
        <v>0</v>
      </c>
    </row>
    <row r="847" spans="2:11" x14ac:dyDescent="0.25">
      <c r="B847" s="4">
        <v>46080</v>
      </c>
      <c r="C847" t="s">
        <v>30</v>
      </c>
      <c r="E847" t="s">
        <v>12</v>
      </c>
      <c r="F847" t="s">
        <v>223</v>
      </c>
      <c r="G847" s="2">
        <v>0</v>
      </c>
      <c r="H847">
        <f t="shared" si="43"/>
        <v>-0.94789999999999996</v>
      </c>
      <c r="I847" s="2">
        <v>20.5</v>
      </c>
      <c r="J847">
        <f t="shared" si="41"/>
        <v>-19.431950000000001</v>
      </c>
      <c r="K847">
        <f t="shared" si="42"/>
        <v>0</v>
      </c>
    </row>
    <row r="848" spans="2:11" x14ac:dyDescent="0.25">
      <c r="B848" s="4">
        <v>46080</v>
      </c>
      <c r="C848" t="s">
        <v>30</v>
      </c>
      <c r="E848" t="s">
        <v>18</v>
      </c>
      <c r="F848" t="s">
        <v>224</v>
      </c>
      <c r="G848" s="2">
        <v>0</v>
      </c>
      <c r="H848">
        <f t="shared" si="43"/>
        <v>-0.94789999999999996</v>
      </c>
      <c r="I848" s="2">
        <v>20.5</v>
      </c>
      <c r="J848">
        <f t="shared" si="41"/>
        <v>-19.431950000000001</v>
      </c>
      <c r="K848">
        <f t="shared" si="42"/>
        <v>0</v>
      </c>
    </row>
    <row r="849" spans="2:11" x14ac:dyDescent="0.25">
      <c r="B849" s="4">
        <v>46080</v>
      </c>
      <c r="C849" t="s">
        <v>30</v>
      </c>
      <c r="E849" t="s">
        <v>19</v>
      </c>
      <c r="F849" t="s">
        <v>225</v>
      </c>
      <c r="G849" s="2">
        <v>0</v>
      </c>
      <c r="H849">
        <f t="shared" si="43"/>
        <v>-0.94789999999999996</v>
      </c>
      <c r="I849" s="2">
        <v>20.5</v>
      </c>
      <c r="J849">
        <f t="shared" si="41"/>
        <v>-19.431950000000001</v>
      </c>
      <c r="K849">
        <f t="shared" si="42"/>
        <v>0</v>
      </c>
    </row>
    <row r="850" spans="2:11" x14ac:dyDescent="0.25">
      <c r="B850" s="4">
        <v>46080</v>
      </c>
      <c r="C850" t="s">
        <v>30</v>
      </c>
      <c r="E850" t="s">
        <v>20</v>
      </c>
      <c r="F850" t="s">
        <v>226</v>
      </c>
      <c r="G850" s="2">
        <v>0</v>
      </c>
      <c r="H850">
        <f t="shared" si="43"/>
        <v>-0.94789999999999996</v>
      </c>
      <c r="I850" s="2">
        <v>20.5</v>
      </c>
      <c r="J850">
        <f t="shared" si="41"/>
        <v>-19.431950000000001</v>
      </c>
      <c r="K850">
        <f t="shared" si="42"/>
        <v>0</v>
      </c>
    </row>
    <row r="851" spans="2:11" x14ac:dyDescent="0.25">
      <c r="B851" s="4">
        <v>46080</v>
      </c>
      <c r="C851" t="s">
        <v>30</v>
      </c>
      <c r="E851" t="s">
        <v>21</v>
      </c>
      <c r="F851" t="s">
        <v>227</v>
      </c>
      <c r="G851" s="2">
        <v>0</v>
      </c>
      <c r="H851">
        <f t="shared" si="43"/>
        <v>-0.94789999999999996</v>
      </c>
      <c r="I851" s="2">
        <v>20.5</v>
      </c>
      <c r="J851">
        <f t="shared" si="41"/>
        <v>-19.431950000000001</v>
      </c>
      <c r="K851">
        <f t="shared" si="42"/>
        <v>0</v>
      </c>
    </row>
    <row r="852" spans="2:11" x14ac:dyDescent="0.25">
      <c r="B852" s="4">
        <v>46080</v>
      </c>
      <c r="C852" t="s">
        <v>30</v>
      </c>
      <c r="E852" t="s">
        <v>22</v>
      </c>
      <c r="F852" t="s">
        <v>228</v>
      </c>
      <c r="G852" s="2">
        <v>0</v>
      </c>
      <c r="H852">
        <f t="shared" si="43"/>
        <v>-0.94789999999999996</v>
      </c>
      <c r="I852" s="2">
        <v>20.5</v>
      </c>
      <c r="J852">
        <f t="shared" si="41"/>
        <v>-19.431950000000001</v>
      </c>
      <c r="K852">
        <f t="shared" si="42"/>
        <v>0</v>
      </c>
    </row>
    <row r="853" spans="2:11" x14ac:dyDescent="0.25">
      <c r="B853" s="4">
        <v>46080</v>
      </c>
      <c r="C853" t="s">
        <v>30</v>
      </c>
      <c r="E853" t="s">
        <v>23</v>
      </c>
      <c r="F853" t="s">
        <v>229</v>
      </c>
      <c r="G853" s="2">
        <v>0</v>
      </c>
      <c r="H853">
        <f t="shared" si="43"/>
        <v>-0.94789999999999996</v>
      </c>
      <c r="I853" s="2">
        <v>20.5</v>
      </c>
      <c r="J853">
        <f t="shared" si="41"/>
        <v>-19.431950000000001</v>
      </c>
      <c r="K853">
        <f t="shared" si="42"/>
        <v>0</v>
      </c>
    </row>
    <row r="854" spans="2:11" x14ac:dyDescent="0.25">
      <c r="B854" s="4">
        <v>46080</v>
      </c>
      <c r="C854" t="s">
        <v>30</v>
      </c>
      <c r="E854" t="s">
        <v>24</v>
      </c>
      <c r="F854" t="s">
        <v>230</v>
      </c>
      <c r="G854" s="2">
        <v>0</v>
      </c>
      <c r="H854">
        <f t="shared" si="43"/>
        <v>-0.94789999999999996</v>
      </c>
      <c r="I854" s="2">
        <v>20.5</v>
      </c>
      <c r="J854">
        <f t="shared" si="41"/>
        <v>-19.431950000000001</v>
      </c>
      <c r="K854">
        <f t="shared" si="42"/>
        <v>0</v>
      </c>
    </row>
    <row r="855" spans="2:11" x14ac:dyDescent="0.25">
      <c r="B855" s="4">
        <v>46080</v>
      </c>
      <c r="C855" t="s">
        <v>30</v>
      </c>
      <c r="E855" t="s">
        <v>25</v>
      </c>
      <c r="F855" t="s">
        <v>231</v>
      </c>
      <c r="G855" s="2">
        <v>0</v>
      </c>
      <c r="H855">
        <f t="shared" si="43"/>
        <v>-0.94789999999999996</v>
      </c>
      <c r="I855" s="2">
        <v>20.5</v>
      </c>
      <c r="J855">
        <f t="shared" si="41"/>
        <v>-19.431950000000001</v>
      </c>
      <c r="K855">
        <f t="shared" si="42"/>
        <v>0</v>
      </c>
    </row>
    <row r="856" spans="2:11" x14ac:dyDescent="0.25">
      <c r="B856" s="4">
        <v>46080</v>
      </c>
      <c r="C856" t="s">
        <v>30</v>
      </c>
      <c r="E856" t="s">
        <v>26</v>
      </c>
      <c r="F856" t="s">
        <v>232</v>
      </c>
      <c r="G856" s="2">
        <v>0</v>
      </c>
      <c r="H856">
        <f t="shared" si="43"/>
        <v>-0.94789999999999996</v>
      </c>
      <c r="I856" s="2">
        <v>20.5</v>
      </c>
      <c r="J856">
        <f t="shared" ref="J856:J919" si="44">H856*I856</f>
        <v>-19.431950000000001</v>
      </c>
      <c r="K856">
        <f t="shared" ref="K856:K919" si="45">MAX(J856,0)</f>
        <v>0</v>
      </c>
    </row>
    <row r="857" spans="2:11" x14ac:dyDescent="0.25">
      <c r="B857" s="4">
        <v>46080</v>
      </c>
      <c r="C857" t="s">
        <v>30</v>
      </c>
      <c r="E857" t="s">
        <v>27</v>
      </c>
      <c r="F857" t="s">
        <v>233</v>
      </c>
      <c r="G857" s="2">
        <v>0</v>
      </c>
      <c r="H857">
        <f t="shared" ref="H857:H920" si="46">(68.247*G857)-0.9479</f>
        <v>-0.94789999999999996</v>
      </c>
      <c r="I857" s="2">
        <v>20.5</v>
      </c>
      <c r="J857">
        <f t="shared" si="44"/>
        <v>-19.431950000000001</v>
      </c>
      <c r="K857">
        <f t="shared" si="45"/>
        <v>0</v>
      </c>
    </row>
    <row r="858" spans="2:11" x14ac:dyDescent="0.25">
      <c r="B858" s="4">
        <v>46080</v>
      </c>
      <c r="C858" t="s">
        <v>30</v>
      </c>
      <c r="E858" t="s">
        <v>28</v>
      </c>
      <c r="F858" t="s">
        <v>234</v>
      </c>
      <c r="G858" s="2">
        <v>0</v>
      </c>
      <c r="H858">
        <f t="shared" si="46"/>
        <v>-0.94789999999999996</v>
      </c>
      <c r="I858" s="2">
        <v>20.5</v>
      </c>
      <c r="J858">
        <f t="shared" si="44"/>
        <v>-19.431950000000001</v>
      </c>
      <c r="K858">
        <f t="shared" si="45"/>
        <v>0</v>
      </c>
    </row>
    <row r="859" spans="2:11" x14ac:dyDescent="0.25">
      <c r="B859" s="4">
        <v>46080</v>
      </c>
      <c r="C859" t="s">
        <v>30</v>
      </c>
      <c r="E859" t="s">
        <v>29</v>
      </c>
      <c r="F859" t="s">
        <v>235</v>
      </c>
      <c r="G859" s="2">
        <v>0</v>
      </c>
      <c r="H859">
        <f t="shared" si="46"/>
        <v>-0.94789999999999996</v>
      </c>
      <c r="I859" s="2">
        <v>20.5</v>
      </c>
      <c r="J859">
        <f t="shared" si="44"/>
        <v>-19.431950000000001</v>
      </c>
      <c r="K859">
        <f t="shared" si="45"/>
        <v>0</v>
      </c>
    </row>
    <row r="860" spans="2:11" x14ac:dyDescent="0.25">
      <c r="B860" s="4">
        <v>46081</v>
      </c>
      <c r="C860" t="s">
        <v>99</v>
      </c>
      <c r="E860" t="s">
        <v>73</v>
      </c>
      <c r="F860" t="s">
        <v>236</v>
      </c>
      <c r="G860" s="2">
        <v>0</v>
      </c>
      <c r="H860">
        <f t="shared" si="46"/>
        <v>-0.94789999999999996</v>
      </c>
      <c r="I860" s="2">
        <v>20.5</v>
      </c>
      <c r="J860">
        <f t="shared" si="44"/>
        <v>-19.431950000000001</v>
      </c>
      <c r="K860">
        <f t="shared" si="45"/>
        <v>0</v>
      </c>
    </row>
    <row r="861" spans="2:11" x14ac:dyDescent="0.25">
      <c r="B861" s="4">
        <v>46081</v>
      </c>
      <c r="C861" t="s">
        <v>99</v>
      </c>
      <c r="E861" t="s">
        <v>74</v>
      </c>
      <c r="F861" t="s">
        <v>237</v>
      </c>
      <c r="G861" s="2">
        <v>0</v>
      </c>
      <c r="H861">
        <f t="shared" si="46"/>
        <v>-0.94789999999999996</v>
      </c>
      <c r="I861" s="2">
        <v>20.5</v>
      </c>
      <c r="J861">
        <f t="shared" si="44"/>
        <v>-19.431950000000001</v>
      </c>
      <c r="K861">
        <f t="shared" si="45"/>
        <v>0</v>
      </c>
    </row>
    <row r="862" spans="2:11" x14ac:dyDescent="0.25">
      <c r="B862" s="4">
        <v>46081</v>
      </c>
      <c r="C862" t="s">
        <v>99</v>
      </c>
      <c r="E862" t="s">
        <v>75</v>
      </c>
      <c r="F862" t="s">
        <v>238</v>
      </c>
      <c r="G862" s="2">
        <v>0</v>
      </c>
      <c r="H862">
        <f t="shared" si="46"/>
        <v>-0.94789999999999996</v>
      </c>
      <c r="I862" s="2">
        <v>20.5</v>
      </c>
      <c r="J862">
        <f t="shared" si="44"/>
        <v>-19.431950000000001</v>
      </c>
      <c r="K862">
        <f t="shared" si="45"/>
        <v>0</v>
      </c>
    </row>
    <row r="863" spans="2:11" x14ac:dyDescent="0.25">
      <c r="B863" s="4">
        <v>46081</v>
      </c>
      <c r="C863" t="s">
        <v>99</v>
      </c>
      <c r="E863" t="s">
        <v>76</v>
      </c>
      <c r="F863" t="s">
        <v>239</v>
      </c>
      <c r="G863" s="2">
        <v>0</v>
      </c>
      <c r="H863">
        <f t="shared" si="46"/>
        <v>-0.94789999999999996</v>
      </c>
      <c r="I863" s="2">
        <v>20.5</v>
      </c>
      <c r="J863">
        <f t="shared" si="44"/>
        <v>-19.431950000000001</v>
      </c>
      <c r="K863">
        <f t="shared" si="45"/>
        <v>0</v>
      </c>
    </row>
    <row r="864" spans="2:11" x14ac:dyDescent="0.25">
      <c r="B864" s="4">
        <v>46081</v>
      </c>
      <c r="C864" t="s">
        <v>99</v>
      </c>
      <c r="E864" t="s">
        <v>77</v>
      </c>
      <c r="F864" t="s">
        <v>240</v>
      </c>
      <c r="G864" s="2">
        <v>0</v>
      </c>
      <c r="H864">
        <f t="shared" si="46"/>
        <v>-0.94789999999999996</v>
      </c>
      <c r="I864" s="2">
        <v>20.5</v>
      </c>
      <c r="J864">
        <f t="shared" si="44"/>
        <v>-19.431950000000001</v>
      </c>
      <c r="K864">
        <f t="shared" si="45"/>
        <v>0</v>
      </c>
    </row>
    <row r="865" spans="2:11" x14ac:dyDescent="0.25">
      <c r="B865" s="4">
        <v>46081</v>
      </c>
      <c r="C865" t="s">
        <v>99</v>
      </c>
      <c r="E865" t="s">
        <v>78</v>
      </c>
      <c r="F865" t="s">
        <v>241</v>
      </c>
      <c r="G865" s="2">
        <v>0</v>
      </c>
      <c r="H865">
        <f t="shared" si="46"/>
        <v>-0.94789999999999996</v>
      </c>
      <c r="I865" s="2">
        <v>20.5</v>
      </c>
      <c r="J865">
        <f t="shared" si="44"/>
        <v>-19.431950000000001</v>
      </c>
      <c r="K865">
        <f t="shared" si="45"/>
        <v>0</v>
      </c>
    </row>
    <row r="866" spans="2:11" x14ac:dyDescent="0.25">
      <c r="B866" s="4">
        <v>46081</v>
      </c>
      <c r="C866" t="s">
        <v>99</v>
      </c>
      <c r="E866" t="s">
        <v>79</v>
      </c>
      <c r="F866" t="s">
        <v>242</v>
      </c>
      <c r="G866" s="2">
        <v>0</v>
      </c>
      <c r="H866">
        <f t="shared" si="46"/>
        <v>-0.94789999999999996</v>
      </c>
      <c r="I866" s="2">
        <v>20.5</v>
      </c>
      <c r="J866">
        <f t="shared" si="44"/>
        <v>-19.431950000000001</v>
      </c>
      <c r="K866">
        <f t="shared" si="45"/>
        <v>0</v>
      </c>
    </row>
    <row r="867" spans="2:11" x14ac:dyDescent="0.25">
      <c r="B867" s="4">
        <v>46081</v>
      </c>
      <c r="C867" t="s">
        <v>99</v>
      </c>
      <c r="E867" t="s">
        <v>80</v>
      </c>
      <c r="F867" t="s">
        <v>243</v>
      </c>
      <c r="G867" s="2">
        <v>0</v>
      </c>
      <c r="H867">
        <f t="shared" si="46"/>
        <v>-0.94789999999999996</v>
      </c>
      <c r="I867" s="2">
        <v>20.5</v>
      </c>
      <c r="J867">
        <f t="shared" si="44"/>
        <v>-19.431950000000001</v>
      </c>
      <c r="K867">
        <f t="shared" si="45"/>
        <v>0</v>
      </c>
    </row>
    <row r="868" spans="2:11" x14ac:dyDescent="0.25">
      <c r="B868" s="4">
        <v>46081</v>
      </c>
      <c r="C868" t="s">
        <v>99</v>
      </c>
      <c r="E868" t="s">
        <v>81</v>
      </c>
      <c r="F868" t="s">
        <v>244</v>
      </c>
      <c r="G868" s="2">
        <v>0</v>
      </c>
      <c r="H868">
        <f t="shared" si="46"/>
        <v>-0.94789999999999996</v>
      </c>
      <c r="I868" s="2">
        <v>1</v>
      </c>
      <c r="J868">
        <f t="shared" si="44"/>
        <v>-0.94789999999999996</v>
      </c>
      <c r="K868">
        <f t="shared" si="45"/>
        <v>0</v>
      </c>
    </row>
    <row r="869" spans="2:11" x14ac:dyDescent="0.25">
      <c r="B869" s="4">
        <v>46081</v>
      </c>
      <c r="C869" t="s">
        <v>99</v>
      </c>
      <c r="D869" t="s">
        <v>98</v>
      </c>
      <c r="E869" t="s">
        <v>95</v>
      </c>
      <c r="F869" t="s">
        <v>245</v>
      </c>
      <c r="G869" s="2">
        <v>0</v>
      </c>
      <c r="H869">
        <f t="shared" si="46"/>
        <v>-0.94789999999999996</v>
      </c>
      <c r="I869" s="2">
        <v>1</v>
      </c>
      <c r="J869">
        <f t="shared" si="44"/>
        <v>-0.94789999999999996</v>
      </c>
      <c r="K869">
        <f t="shared" si="45"/>
        <v>0</v>
      </c>
    </row>
    <row r="870" spans="2:11" x14ac:dyDescent="0.25">
      <c r="B870" s="4">
        <v>46081</v>
      </c>
      <c r="C870" t="s">
        <v>99</v>
      </c>
      <c r="D870" t="s">
        <v>98</v>
      </c>
      <c r="E870" t="s">
        <v>96</v>
      </c>
      <c r="F870" t="s">
        <v>246</v>
      </c>
      <c r="G870" s="2">
        <v>0</v>
      </c>
      <c r="H870">
        <f t="shared" si="46"/>
        <v>-0.94789999999999996</v>
      </c>
      <c r="I870" s="2">
        <v>1</v>
      </c>
      <c r="J870">
        <f t="shared" si="44"/>
        <v>-0.94789999999999996</v>
      </c>
      <c r="K870">
        <f t="shared" si="45"/>
        <v>0</v>
      </c>
    </row>
    <row r="871" spans="2:11" x14ac:dyDescent="0.25">
      <c r="B871" s="4">
        <v>46081</v>
      </c>
      <c r="C871" t="s">
        <v>99</v>
      </c>
      <c r="D871" t="s">
        <v>98</v>
      </c>
      <c r="E871" t="s">
        <v>97</v>
      </c>
      <c r="F871" t="s">
        <v>247</v>
      </c>
      <c r="G871" s="2">
        <v>0</v>
      </c>
      <c r="H871">
        <f t="shared" si="46"/>
        <v>-0.94789999999999996</v>
      </c>
      <c r="I871" s="2">
        <v>20.5</v>
      </c>
      <c r="J871">
        <f t="shared" si="44"/>
        <v>-19.431950000000001</v>
      </c>
      <c r="K871">
        <f t="shared" si="45"/>
        <v>0</v>
      </c>
    </row>
    <row r="872" spans="2:11" x14ac:dyDescent="0.25">
      <c r="B872" s="4">
        <v>46081</v>
      </c>
      <c r="C872" t="s">
        <v>100</v>
      </c>
      <c r="E872" t="s">
        <v>73</v>
      </c>
      <c r="F872" t="s">
        <v>248</v>
      </c>
      <c r="G872" s="2">
        <v>0</v>
      </c>
      <c r="H872">
        <f t="shared" si="46"/>
        <v>-0.94789999999999996</v>
      </c>
      <c r="I872" s="2">
        <v>20.5</v>
      </c>
      <c r="J872">
        <f t="shared" si="44"/>
        <v>-19.431950000000001</v>
      </c>
      <c r="K872">
        <f t="shared" si="45"/>
        <v>0</v>
      </c>
    </row>
    <row r="873" spans="2:11" x14ac:dyDescent="0.25">
      <c r="B873" s="4">
        <v>46081</v>
      </c>
      <c r="C873" t="s">
        <v>100</v>
      </c>
      <c r="E873" t="s">
        <v>74</v>
      </c>
      <c r="F873" t="s">
        <v>249</v>
      </c>
      <c r="G873" s="2">
        <v>0</v>
      </c>
      <c r="H873">
        <f t="shared" si="46"/>
        <v>-0.94789999999999996</v>
      </c>
      <c r="I873" s="2">
        <v>20.5</v>
      </c>
      <c r="J873">
        <f t="shared" si="44"/>
        <v>-19.431950000000001</v>
      </c>
      <c r="K873">
        <f t="shared" si="45"/>
        <v>0</v>
      </c>
    </row>
    <row r="874" spans="2:11" x14ac:dyDescent="0.25">
      <c r="B874" s="4">
        <v>46081</v>
      </c>
      <c r="C874" t="s">
        <v>100</v>
      </c>
      <c r="E874" t="s">
        <v>75</v>
      </c>
      <c r="F874" t="s">
        <v>250</v>
      </c>
      <c r="G874" s="2">
        <v>0</v>
      </c>
      <c r="H874">
        <f t="shared" si="46"/>
        <v>-0.94789999999999996</v>
      </c>
      <c r="I874" s="2">
        <v>20.5</v>
      </c>
      <c r="J874">
        <f t="shared" si="44"/>
        <v>-19.431950000000001</v>
      </c>
      <c r="K874">
        <f t="shared" si="45"/>
        <v>0</v>
      </c>
    </row>
    <row r="875" spans="2:11" x14ac:dyDescent="0.25">
      <c r="B875" s="4">
        <v>46081</v>
      </c>
      <c r="C875" t="s">
        <v>100</v>
      </c>
      <c r="E875" t="s">
        <v>76</v>
      </c>
      <c r="F875" t="s">
        <v>251</v>
      </c>
      <c r="G875" s="2">
        <v>0</v>
      </c>
      <c r="H875">
        <f t="shared" si="46"/>
        <v>-0.94789999999999996</v>
      </c>
      <c r="I875" s="2">
        <v>20.5</v>
      </c>
      <c r="J875">
        <f t="shared" si="44"/>
        <v>-19.431950000000001</v>
      </c>
      <c r="K875">
        <f t="shared" si="45"/>
        <v>0</v>
      </c>
    </row>
    <row r="876" spans="2:11" x14ac:dyDescent="0.25">
      <c r="B876" s="4">
        <v>46081</v>
      </c>
      <c r="C876" t="s">
        <v>100</v>
      </c>
      <c r="E876" t="s">
        <v>77</v>
      </c>
      <c r="F876" t="s">
        <v>252</v>
      </c>
      <c r="G876" s="2">
        <v>0</v>
      </c>
      <c r="H876">
        <f t="shared" si="46"/>
        <v>-0.94789999999999996</v>
      </c>
      <c r="I876" s="2">
        <v>20.5</v>
      </c>
      <c r="J876">
        <f t="shared" si="44"/>
        <v>-19.431950000000001</v>
      </c>
      <c r="K876">
        <f t="shared" si="45"/>
        <v>0</v>
      </c>
    </row>
    <row r="877" spans="2:11" x14ac:dyDescent="0.25">
      <c r="B877" s="4">
        <v>46081</v>
      </c>
      <c r="C877" t="s">
        <v>100</v>
      </c>
      <c r="E877" t="s">
        <v>78</v>
      </c>
      <c r="F877" t="s">
        <v>253</v>
      </c>
      <c r="G877" s="2">
        <v>0</v>
      </c>
      <c r="H877">
        <f t="shared" si="46"/>
        <v>-0.94789999999999996</v>
      </c>
      <c r="I877" s="2">
        <v>20.5</v>
      </c>
      <c r="J877">
        <f t="shared" si="44"/>
        <v>-19.431950000000001</v>
      </c>
      <c r="K877">
        <f t="shared" si="45"/>
        <v>0</v>
      </c>
    </row>
    <row r="878" spans="2:11" x14ac:dyDescent="0.25">
      <c r="B878" s="4">
        <v>46081</v>
      </c>
      <c r="C878" t="s">
        <v>100</v>
      </c>
      <c r="E878" t="s">
        <v>79</v>
      </c>
      <c r="F878" t="s">
        <v>254</v>
      </c>
      <c r="G878" s="2">
        <v>0</v>
      </c>
      <c r="H878">
        <f t="shared" si="46"/>
        <v>-0.94789999999999996</v>
      </c>
      <c r="I878" s="2">
        <v>20.5</v>
      </c>
      <c r="J878">
        <f t="shared" si="44"/>
        <v>-19.431950000000001</v>
      </c>
      <c r="K878">
        <f t="shared" si="45"/>
        <v>0</v>
      </c>
    </row>
    <row r="879" spans="2:11" x14ac:dyDescent="0.25">
      <c r="B879" s="4">
        <v>46081</v>
      </c>
      <c r="C879" t="s">
        <v>100</v>
      </c>
      <c r="E879" t="s">
        <v>80</v>
      </c>
      <c r="F879" t="s">
        <v>255</v>
      </c>
      <c r="G879" s="2">
        <v>0</v>
      </c>
      <c r="H879">
        <f t="shared" si="46"/>
        <v>-0.94789999999999996</v>
      </c>
      <c r="I879" s="2">
        <v>20.5</v>
      </c>
      <c r="J879">
        <f t="shared" si="44"/>
        <v>-19.431950000000001</v>
      </c>
      <c r="K879">
        <f t="shared" si="45"/>
        <v>0</v>
      </c>
    </row>
    <row r="880" spans="2:11" x14ac:dyDescent="0.25">
      <c r="B880" s="4">
        <v>46081</v>
      </c>
      <c r="C880" t="s">
        <v>100</v>
      </c>
      <c r="E880" t="s">
        <v>81</v>
      </c>
      <c r="F880" t="s">
        <v>256</v>
      </c>
      <c r="G880" s="2">
        <v>0</v>
      </c>
      <c r="H880">
        <f t="shared" si="46"/>
        <v>-0.94789999999999996</v>
      </c>
      <c r="I880" s="2">
        <v>20.5</v>
      </c>
      <c r="J880">
        <f t="shared" si="44"/>
        <v>-19.431950000000001</v>
      </c>
      <c r="K880">
        <f t="shared" si="45"/>
        <v>0</v>
      </c>
    </row>
    <row r="881" spans="2:11" x14ac:dyDescent="0.25">
      <c r="B881" s="4">
        <v>46081</v>
      </c>
      <c r="C881" t="s">
        <v>100</v>
      </c>
      <c r="D881" t="s">
        <v>98</v>
      </c>
      <c r="E881" t="s">
        <v>95</v>
      </c>
      <c r="F881" t="s">
        <v>257</v>
      </c>
      <c r="G881" s="2">
        <v>0</v>
      </c>
      <c r="H881">
        <f t="shared" si="46"/>
        <v>-0.94789999999999996</v>
      </c>
      <c r="I881" s="2">
        <v>1</v>
      </c>
      <c r="J881">
        <f t="shared" si="44"/>
        <v>-0.94789999999999996</v>
      </c>
      <c r="K881">
        <f t="shared" si="45"/>
        <v>0</v>
      </c>
    </row>
    <row r="882" spans="2:11" x14ac:dyDescent="0.25">
      <c r="B882" s="4">
        <v>46081</v>
      </c>
      <c r="C882" t="s">
        <v>100</v>
      </c>
      <c r="D882" t="s">
        <v>98</v>
      </c>
      <c r="E882" t="s">
        <v>96</v>
      </c>
      <c r="F882" t="s">
        <v>258</v>
      </c>
      <c r="G882" s="2">
        <v>0</v>
      </c>
      <c r="H882">
        <f t="shared" si="46"/>
        <v>-0.94789999999999996</v>
      </c>
      <c r="I882" s="2">
        <v>1</v>
      </c>
      <c r="J882">
        <f t="shared" si="44"/>
        <v>-0.94789999999999996</v>
      </c>
      <c r="K882">
        <f t="shared" si="45"/>
        <v>0</v>
      </c>
    </row>
    <row r="883" spans="2:11" x14ac:dyDescent="0.25">
      <c r="B883" s="4">
        <v>46081</v>
      </c>
      <c r="C883" t="s">
        <v>100</v>
      </c>
      <c r="D883" t="s">
        <v>98</v>
      </c>
      <c r="E883" t="s">
        <v>97</v>
      </c>
      <c r="F883" t="s">
        <v>259</v>
      </c>
      <c r="G883" s="2">
        <v>0</v>
      </c>
      <c r="H883">
        <f t="shared" si="46"/>
        <v>-0.94789999999999996</v>
      </c>
      <c r="I883" s="2">
        <v>1</v>
      </c>
      <c r="J883">
        <f t="shared" si="44"/>
        <v>-0.94789999999999996</v>
      </c>
      <c r="K883">
        <f t="shared" si="45"/>
        <v>0</v>
      </c>
    </row>
    <row r="884" spans="2:11" x14ac:dyDescent="0.25">
      <c r="B884" s="1">
        <v>46141</v>
      </c>
      <c r="C884" t="s">
        <v>12</v>
      </c>
      <c r="E884" t="s">
        <v>13</v>
      </c>
      <c r="F884" t="s">
        <v>260</v>
      </c>
      <c r="G884" s="2">
        <v>0</v>
      </c>
      <c r="H884">
        <f t="shared" si="46"/>
        <v>-0.94789999999999996</v>
      </c>
      <c r="I884" s="2">
        <v>20.5</v>
      </c>
      <c r="J884">
        <f t="shared" si="44"/>
        <v>-19.431950000000001</v>
      </c>
      <c r="K884">
        <f t="shared" si="45"/>
        <v>0</v>
      </c>
    </row>
    <row r="885" spans="2:11" x14ac:dyDescent="0.25">
      <c r="B885" s="1">
        <v>46141</v>
      </c>
      <c r="C885" t="s">
        <v>12</v>
      </c>
      <c r="E885" t="s">
        <v>14</v>
      </c>
      <c r="F885" t="s">
        <v>261</v>
      </c>
      <c r="G885" s="2">
        <v>0</v>
      </c>
      <c r="H885">
        <f t="shared" si="46"/>
        <v>-0.94789999999999996</v>
      </c>
      <c r="I885" s="2">
        <v>20.5</v>
      </c>
      <c r="J885">
        <f t="shared" si="44"/>
        <v>-19.431950000000001</v>
      </c>
      <c r="K885">
        <f t="shared" si="45"/>
        <v>0</v>
      </c>
    </row>
    <row r="886" spans="2:11" x14ac:dyDescent="0.25">
      <c r="B886" s="1">
        <v>46141</v>
      </c>
      <c r="C886" t="s">
        <v>12</v>
      </c>
      <c r="E886" t="s">
        <v>15</v>
      </c>
      <c r="F886" t="s">
        <v>262</v>
      </c>
      <c r="G886" s="2">
        <v>0</v>
      </c>
      <c r="H886">
        <f t="shared" si="46"/>
        <v>-0.94789999999999996</v>
      </c>
      <c r="I886" s="2">
        <v>20.5</v>
      </c>
      <c r="J886">
        <f t="shared" si="44"/>
        <v>-19.431950000000001</v>
      </c>
      <c r="K886">
        <f t="shared" si="45"/>
        <v>0</v>
      </c>
    </row>
    <row r="887" spans="2:11" x14ac:dyDescent="0.25">
      <c r="B887" s="1">
        <v>46141</v>
      </c>
      <c r="C887" t="s">
        <v>12</v>
      </c>
      <c r="E887" t="s">
        <v>16</v>
      </c>
      <c r="F887" t="s">
        <v>263</v>
      </c>
      <c r="G887" s="2">
        <v>0</v>
      </c>
      <c r="H887">
        <f t="shared" si="46"/>
        <v>-0.94789999999999996</v>
      </c>
      <c r="I887" s="2">
        <v>20.5</v>
      </c>
      <c r="J887">
        <f t="shared" si="44"/>
        <v>-19.431950000000001</v>
      </c>
      <c r="K887">
        <f t="shared" si="45"/>
        <v>0</v>
      </c>
    </row>
    <row r="888" spans="2:11" x14ac:dyDescent="0.25">
      <c r="B888" s="1">
        <v>46141</v>
      </c>
      <c r="C888" t="s">
        <v>12</v>
      </c>
      <c r="E888" t="s">
        <v>17</v>
      </c>
      <c r="F888" t="s">
        <v>264</v>
      </c>
      <c r="G888" s="2">
        <v>0</v>
      </c>
      <c r="H888">
        <f t="shared" si="46"/>
        <v>-0.94789999999999996</v>
      </c>
      <c r="I888" s="2">
        <v>20.5</v>
      </c>
      <c r="J888">
        <f t="shared" si="44"/>
        <v>-19.431950000000001</v>
      </c>
      <c r="K888">
        <f t="shared" si="45"/>
        <v>0</v>
      </c>
    </row>
    <row r="889" spans="2:11" x14ac:dyDescent="0.25">
      <c r="B889" s="1">
        <v>46141</v>
      </c>
      <c r="C889" t="s">
        <v>12</v>
      </c>
      <c r="E889" t="s">
        <v>12</v>
      </c>
      <c r="F889" t="s">
        <v>265</v>
      </c>
      <c r="G889" s="2">
        <v>0</v>
      </c>
      <c r="H889">
        <f t="shared" si="46"/>
        <v>-0.94789999999999996</v>
      </c>
      <c r="I889" s="2">
        <v>20.5</v>
      </c>
      <c r="J889">
        <f t="shared" si="44"/>
        <v>-19.431950000000001</v>
      </c>
      <c r="K889">
        <f t="shared" si="45"/>
        <v>0</v>
      </c>
    </row>
    <row r="890" spans="2:11" x14ac:dyDescent="0.25">
      <c r="B890" s="1">
        <v>46141</v>
      </c>
      <c r="C890" t="s">
        <v>12</v>
      </c>
      <c r="E890" t="s">
        <v>18</v>
      </c>
      <c r="F890" t="s">
        <v>266</v>
      </c>
      <c r="G890" s="2">
        <v>0</v>
      </c>
      <c r="H890">
        <f t="shared" si="46"/>
        <v>-0.94789999999999996</v>
      </c>
      <c r="I890" s="2">
        <v>20.5</v>
      </c>
      <c r="J890">
        <f t="shared" si="44"/>
        <v>-19.431950000000001</v>
      </c>
      <c r="K890">
        <f t="shared" si="45"/>
        <v>0</v>
      </c>
    </row>
    <row r="891" spans="2:11" x14ac:dyDescent="0.25">
      <c r="B891" s="1">
        <v>46141</v>
      </c>
      <c r="C891" t="s">
        <v>12</v>
      </c>
      <c r="E891" t="s">
        <v>19</v>
      </c>
      <c r="F891" t="s">
        <v>267</v>
      </c>
      <c r="G891" s="2">
        <v>0</v>
      </c>
      <c r="H891">
        <f t="shared" si="46"/>
        <v>-0.94789999999999996</v>
      </c>
      <c r="I891" s="2">
        <v>20.5</v>
      </c>
      <c r="J891">
        <f t="shared" si="44"/>
        <v>-19.431950000000001</v>
      </c>
      <c r="K891">
        <f t="shared" si="45"/>
        <v>0</v>
      </c>
    </row>
    <row r="892" spans="2:11" x14ac:dyDescent="0.25">
      <c r="B892" s="1">
        <v>46141</v>
      </c>
      <c r="C892" t="s">
        <v>12</v>
      </c>
      <c r="E892" t="s">
        <v>20</v>
      </c>
      <c r="F892" t="s">
        <v>268</v>
      </c>
      <c r="G892" s="2">
        <v>0</v>
      </c>
      <c r="H892">
        <f t="shared" si="46"/>
        <v>-0.94789999999999996</v>
      </c>
      <c r="I892" s="2">
        <v>20.5</v>
      </c>
      <c r="J892">
        <f t="shared" si="44"/>
        <v>-19.431950000000001</v>
      </c>
      <c r="K892">
        <f t="shared" si="45"/>
        <v>0</v>
      </c>
    </row>
    <row r="893" spans="2:11" x14ac:dyDescent="0.25">
      <c r="B893" s="1">
        <v>46141</v>
      </c>
      <c r="C893" t="s">
        <v>12</v>
      </c>
      <c r="E893" t="s">
        <v>21</v>
      </c>
      <c r="F893" t="s">
        <v>269</v>
      </c>
      <c r="G893" s="2">
        <v>0</v>
      </c>
      <c r="H893">
        <f t="shared" si="46"/>
        <v>-0.94789999999999996</v>
      </c>
      <c r="I893" s="2">
        <v>20.5</v>
      </c>
      <c r="J893">
        <f t="shared" si="44"/>
        <v>-19.431950000000001</v>
      </c>
      <c r="K893">
        <f t="shared" si="45"/>
        <v>0</v>
      </c>
    </row>
    <row r="894" spans="2:11" x14ac:dyDescent="0.25">
      <c r="B894" s="1">
        <v>46141</v>
      </c>
      <c r="C894" t="s">
        <v>12</v>
      </c>
      <c r="E894" t="s">
        <v>22</v>
      </c>
      <c r="F894" t="s">
        <v>270</v>
      </c>
      <c r="G894" s="2">
        <v>0</v>
      </c>
      <c r="H894">
        <f t="shared" si="46"/>
        <v>-0.94789999999999996</v>
      </c>
      <c r="I894" s="2">
        <v>20.5</v>
      </c>
      <c r="J894">
        <f t="shared" si="44"/>
        <v>-19.431950000000001</v>
      </c>
      <c r="K894">
        <f t="shared" si="45"/>
        <v>0</v>
      </c>
    </row>
    <row r="895" spans="2:11" x14ac:dyDescent="0.25">
      <c r="B895" s="1">
        <v>46141</v>
      </c>
      <c r="C895" t="s">
        <v>12</v>
      </c>
      <c r="E895" t="s">
        <v>23</v>
      </c>
      <c r="F895" t="s">
        <v>271</v>
      </c>
      <c r="G895" s="2">
        <v>0</v>
      </c>
      <c r="H895">
        <f t="shared" si="46"/>
        <v>-0.94789999999999996</v>
      </c>
      <c r="I895" s="2">
        <v>20.5</v>
      </c>
      <c r="J895">
        <f t="shared" si="44"/>
        <v>-19.431950000000001</v>
      </c>
      <c r="K895">
        <f t="shared" si="45"/>
        <v>0</v>
      </c>
    </row>
    <row r="896" spans="2:11" x14ac:dyDescent="0.25">
      <c r="B896" s="1">
        <v>46141</v>
      </c>
      <c r="C896" t="s">
        <v>12</v>
      </c>
      <c r="E896" t="s">
        <v>24</v>
      </c>
      <c r="F896" t="s">
        <v>272</v>
      </c>
      <c r="G896" s="2">
        <v>0</v>
      </c>
      <c r="H896">
        <f t="shared" si="46"/>
        <v>-0.94789999999999996</v>
      </c>
      <c r="I896" s="2">
        <v>20.5</v>
      </c>
      <c r="J896">
        <f t="shared" si="44"/>
        <v>-19.431950000000001</v>
      </c>
      <c r="K896">
        <f t="shared" si="45"/>
        <v>0</v>
      </c>
    </row>
    <row r="897" spans="2:11" x14ac:dyDescent="0.25">
      <c r="B897" s="1">
        <v>46141</v>
      </c>
      <c r="C897" t="s">
        <v>12</v>
      </c>
      <c r="E897" t="s">
        <v>25</v>
      </c>
      <c r="F897" t="s">
        <v>273</v>
      </c>
      <c r="G897" s="2">
        <v>0</v>
      </c>
      <c r="H897">
        <f t="shared" si="46"/>
        <v>-0.94789999999999996</v>
      </c>
      <c r="I897" s="2">
        <v>20.5</v>
      </c>
      <c r="J897">
        <f t="shared" si="44"/>
        <v>-19.431950000000001</v>
      </c>
      <c r="K897">
        <f t="shared" si="45"/>
        <v>0</v>
      </c>
    </row>
    <row r="898" spans="2:11" x14ac:dyDescent="0.25">
      <c r="B898" s="1">
        <v>46141</v>
      </c>
      <c r="C898" t="s">
        <v>12</v>
      </c>
      <c r="E898" t="s">
        <v>26</v>
      </c>
      <c r="F898" t="s">
        <v>274</v>
      </c>
      <c r="G898" s="2">
        <v>0</v>
      </c>
      <c r="H898">
        <f t="shared" si="46"/>
        <v>-0.94789999999999996</v>
      </c>
      <c r="I898" s="2">
        <v>20.5</v>
      </c>
      <c r="J898">
        <f t="shared" si="44"/>
        <v>-19.431950000000001</v>
      </c>
      <c r="K898">
        <f t="shared" si="45"/>
        <v>0</v>
      </c>
    </row>
    <row r="899" spans="2:11" x14ac:dyDescent="0.25">
      <c r="B899" s="1">
        <v>46141</v>
      </c>
      <c r="C899" t="s">
        <v>12</v>
      </c>
      <c r="E899" t="s">
        <v>27</v>
      </c>
      <c r="F899" t="s">
        <v>275</v>
      </c>
      <c r="G899" s="2">
        <v>0</v>
      </c>
      <c r="H899">
        <f t="shared" si="46"/>
        <v>-0.94789999999999996</v>
      </c>
      <c r="I899" s="2">
        <v>20.5</v>
      </c>
      <c r="J899">
        <f t="shared" si="44"/>
        <v>-19.431950000000001</v>
      </c>
      <c r="K899">
        <f t="shared" si="45"/>
        <v>0</v>
      </c>
    </row>
    <row r="900" spans="2:11" x14ac:dyDescent="0.25">
      <c r="B900" s="1">
        <v>46141</v>
      </c>
      <c r="C900" t="s">
        <v>12</v>
      </c>
      <c r="E900" t="s">
        <v>28</v>
      </c>
      <c r="F900" t="s">
        <v>276</v>
      </c>
      <c r="G900" s="2">
        <v>0</v>
      </c>
      <c r="H900">
        <f t="shared" si="46"/>
        <v>-0.94789999999999996</v>
      </c>
      <c r="I900" s="2">
        <v>20.5</v>
      </c>
      <c r="J900">
        <f t="shared" si="44"/>
        <v>-19.431950000000001</v>
      </c>
      <c r="K900">
        <f t="shared" si="45"/>
        <v>0</v>
      </c>
    </row>
    <row r="901" spans="2:11" x14ac:dyDescent="0.25">
      <c r="B901" s="1">
        <v>46141</v>
      </c>
      <c r="C901" t="s">
        <v>12</v>
      </c>
      <c r="E901" t="s">
        <v>29</v>
      </c>
      <c r="F901" t="s">
        <v>277</v>
      </c>
      <c r="G901" s="2">
        <v>0</v>
      </c>
      <c r="H901">
        <f t="shared" si="46"/>
        <v>-0.94789999999999996</v>
      </c>
      <c r="I901" s="2">
        <v>20.5</v>
      </c>
      <c r="J901">
        <f t="shared" si="44"/>
        <v>-19.431950000000001</v>
      </c>
      <c r="K901">
        <f t="shared" si="45"/>
        <v>0</v>
      </c>
    </row>
    <row r="902" spans="2:11" x14ac:dyDescent="0.25">
      <c r="B902" s="1">
        <v>46141</v>
      </c>
      <c r="C902" t="s">
        <v>30</v>
      </c>
      <c r="E902" t="s">
        <v>13</v>
      </c>
      <c r="F902" t="s">
        <v>278</v>
      </c>
      <c r="G902" s="2">
        <v>0</v>
      </c>
      <c r="H902">
        <f t="shared" si="46"/>
        <v>-0.94789999999999996</v>
      </c>
      <c r="I902" s="2">
        <v>20.5</v>
      </c>
      <c r="J902">
        <f t="shared" si="44"/>
        <v>-19.431950000000001</v>
      </c>
      <c r="K902">
        <f t="shared" si="45"/>
        <v>0</v>
      </c>
    </row>
    <row r="903" spans="2:11" x14ac:dyDescent="0.25">
      <c r="B903" s="1">
        <v>46141</v>
      </c>
      <c r="C903" t="s">
        <v>30</v>
      </c>
      <c r="E903" t="s">
        <v>14</v>
      </c>
      <c r="F903" t="s">
        <v>279</v>
      </c>
      <c r="G903" s="2">
        <v>0</v>
      </c>
      <c r="H903">
        <f t="shared" si="46"/>
        <v>-0.94789999999999996</v>
      </c>
      <c r="I903" s="2">
        <v>20.5</v>
      </c>
      <c r="J903">
        <f t="shared" si="44"/>
        <v>-19.431950000000001</v>
      </c>
      <c r="K903">
        <f t="shared" si="45"/>
        <v>0</v>
      </c>
    </row>
    <row r="904" spans="2:11" x14ac:dyDescent="0.25">
      <c r="B904" s="1">
        <v>46141</v>
      </c>
      <c r="C904" t="s">
        <v>30</v>
      </c>
      <c r="E904" t="s">
        <v>15</v>
      </c>
      <c r="F904" t="s">
        <v>280</v>
      </c>
      <c r="G904" s="2">
        <v>0</v>
      </c>
      <c r="H904">
        <f t="shared" si="46"/>
        <v>-0.94789999999999996</v>
      </c>
      <c r="I904" s="2">
        <v>20.5</v>
      </c>
      <c r="J904">
        <f t="shared" si="44"/>
        <v>-19.431950000000001</v>
      </c>
      <c r="K904">
        <f t="shared" si="45"/>
        <v>0</v>
      </c>
    </row>
    <row r="905" spans="2:11" x14ac:dyDescent="0.25">
      <c r="B905" s="1">
        <v>46141</v>
      </c>
      <c r="C905" t="s">
        <v>30</v>
      </c>
      <c r="E905" t="s">
        <v>16</v>
      </c>
      <c r="F905" t="s">
        <v>281</v>
      </c>
      <c r="G905" s="2">
        <v>0</v>
      </c>
      <c r="H905">
        <f t="shared" si="46"/>
        <v>-0.94789999999999996</v>
      </c>
      <c r="I905" s="2">
        <v>20.5</v>
      </c>
      <c r="J905">
        <f t="shared" si="44"/>
        <v>-19.431950000000001</v>
      </c>
      <c r="K905">
        <f t="shared" si="45"/>
        <v>0</v>
      </c>
    </row>
    <row r="906" spans="2:11" x14ac:dyDescent="0.25">
      <c r="B906" s="1">
        <v>46141</v>
      </c>
      <c r="C906" t="s">
        <v>30</v>
      </c>
      <c r="E906" t="s">
        <v>17</v>
      </c>
      <c r="F906" t="s">
        <v>282</v>
      </c>
      <c r="G906" s="2">
        <v>0</v>
      </c>
      <c r="H906">
        <f t="shared" si="46"/>
        <v>-0.94789999999999996</v>
      </c>
      <c r="I906" s="2">
        <v>20.5</v>
      </c>
      <c r="J906">
        <f t="shared" si="44"/>
        <v>-19.431950000000001</v>
      </c>
      <c r="K906">
        <f t="shared" si="45"/>
        <v>0</v>
      </c>
    </row>
    <row r="907" spans="2:11" x14ac:dyDescent="0.25">
      <c r="B907" s="1">
        <v>46141</v>
      </c>
      <c r="C907" t="s">
        <v>30</v>
      </c>
      <c r="E907" t="s">
        <v>12</v>
      </c>
      <c r="F907" t="s">
        <v>283</v>
      </c>
      <c r="G907" s="2">
        <v>0</v>
      </c>
      <c r="H907">
        <f t="shared" si="46"/>
        <v>-0.94789999999999996</v>
      </c>
      <c r="I907" s="2">
        <v>20.5</v>
      </c>
      <c r="J907">
        <f t="shared" si="44"/>
        <v>-19.431950000000001</v>
      </c>
      <c r="K907">
        <f t="shared" si="45"/>
        <v>0</v>
      </c>
    </row>
    <row r="908" spans="2:11" x14ac:dyDescent="0.25">
      <c r="B908" s="1">
        <v>46141</v>
      </c>
      <c r="C908" t="s">
        <v>30</v>
      </c>
      <c r="E908" t="s">
        <v>18</v>
      </c>
      <c r="F908" t="s">
        <v>284</v>
      </c>
      <c r="G908" s="2">
        <v>0</v>
      </c>
      <c r="H908">
        <f t="shared" si="46"/>
        <v>-0.94789999999999996</v>
      </c>
      <c r="I908" s="2">
        <v>20.5</v>
      </c>
      <c r="J908">
        <f t="shared" si="44"/>
        <v>-19.431950000000001</v>
      </c>
      <c r="K908">
        <f t="shared" si="45"/>
        <v>0</v>
      </c>
    </row>
    <row r="909" spans="2:11" x14ac:dyDescent="0.25">
      <c r="B909" s="1">
        <v>46141</v>
      </c>
      <c r="C909" t="s">
        <v>30</v>
      </c>
      <c r="E909" t="s">
        <v>19</v>
      </c>
      <c r="F909" t="s">
        <v>285</v>
      </c>
      <c r="G909" s="2">
        <v>0</v>
      </c>
      <c r="H909">
        <f t="shared" si="46"/>
        <v>-0.94789999999999996</v>
      </c>
      <c r="I909" s="2">
        <v>20.5</v>
      </c>
      <c r="J909">
        <f t="shared" si="44"/>
        <v>-19.431950000000001</v>
      </c>
      <c r="K909">
        <f t="shared" si="45"/>
        <v>0</v>
      </c>
    </row>
    <row r="910" spans="2:11" x14ac:dyDescent="0.25">
      <c r="B910" s="1">
        <v>46141</v>
      </c>
      <c r="C910" t="s">
        <v>30</v>
      </c>
      <c r="E910" t="s">
        <v>20</v>
      </c>
      <c r="F910" t="s">
        <v>286</v>
      </c>
      <c r="G910" s="2">
        <v>0</v>
      </c>
      <c r="H910">
        <f t="shared" si="46"/>
        <v>-0.94789999999999996</v>
      </c>
      <c r="I910" s="2">
        <v>20.5</v>
      </c>
      <c r="J910">
        <f t="shared" si="44"/>
        <v>-19.431950000000001</v>
      </c>
      <c r="K910">
        <f t="shared" si="45"/>
        <v>0</v>
      </c>
    </row>
    <row r="911" spans="2:11" x14ac:dyDescent="0.25">
      <c r="B911" s="1">
        <v>46141</v>
      </c>
      <c r="C911" t="s">
        <v>30</v>
      </c>
      <c r="E911" t="s">
        <v>21</v>
      </c>
      <c r="F911" t="s">
        <v>287</v>
      </c>
      <c r="G911" s="2">
        <v>0</v>
      </c>
      <c r="H911">
        <f t="shared" si="46"/>
        <v>-0.94789999999999996</v>
      </c>
      <c r="I911" s="2">
        <v>20.5</v>
      </c>
      <c r="J911">
        <f t="shared" si="44"/>
        <v>-19.431950000000001</v>
      </c>
      <c r="K911">
        <f t="shared" si="45"/>
        <v>0</v>
      </c>
    </row>
    <row r="912" spans="2:11" x14ac:dyDescent="0.25">
      <c r="B912" s="1">
        <v>46141</v>
      </c>
      <c r="C912" t="s">
        <v>30</v>
      </c>
      <c r="E912" t="s">
        <v>22</v>
      </c>
      <c r="F912" t="s">
        <v>288</v>
      </c>
      <c r="G912" s="2">
        <v>0</v>
      </c>
      <c r="H912">
        <f t="shared" si="46"/>
        <v>-0.94789999999999996</v>
      </c>
      <c r="I912" s="2">
        <v>20.5</v>
      </c>
      <c r="J912">
        <f t="shared" si="44"/>
        <v>-19.431950000000001</v>
      </c>
      <c r="K912">
        <f t="shared" si="45"/>
        <v>0</v>
      </c>
    </row>
    <row r="913" spans="2:11" x14ac:dyDescent="0.25">
      <c r="B913" s="1">
        <v>46141</v>
      </c>
      <c r="C913" t="s">
        <v>30</v>
      </c>
      <c r="E913" t="s">
        <v>23</v>
      </c>
      <c r="F913" t="s">
        <v>289</v>
      </c>
      <c r="G913" s="2">
        <v>0</v>
      </c>
      <c r="H913">
        <f t="shared" si="46"/>
        <v>-0.94789999999999996</v>
      </c>
      <c r="I913" s="2">
        <v>20.5</v>
      </c>
      <c r="J913">
        <f t="shared" si="44"/>
        <v>-19.431950000000001</v>
      </c>
      <c r="K913">
        <f t="shared" si="45"/>
        <v>0</v>
      </c>
    </row>
    <row r="914" spans="2:11" x14ac:dyDescent="0.25">
      <c r="B914" s="1">
        <v>46141</v>
      </c>
      <c r="C914" t="s">
        <v>30</v>
      </c>
      <c r="E914" t="s">
        <v>24</v>
      </c>
      <c r="F914" t="s">
        <v>290</v>
      </c>
      <c r="G914" s="2">
        <v>0</v>
      </c>
      <c r="H914">
        <f t="shared" si="46"/>
        <v>-0.94789999999999996</v>
      </c>
      <c r="I914" s="2">
        <v>20.5</v>
      </c>
      <c r="J914">
        <f t="shared" si="44"/>
        <v>-19.431950000000001</v>
      </c>
      <c r="K914">
        <f t="shared" si="45"/>
        <v>0</v>
      </c>
    </row>
    <row r="915" spans="2:11" x14ac:dyDescent="0.25">
      <c r="B915" s="1">
        <v>46141</v>
      </c>
      <c r="C915" t="s">
        <v>30</v>
      </c>
      <c r="E915" t="s">
        <v>25</v>
      </c>
      <c r="F915" t="s">
        <v>291</v>
      </c>
      <c r="G915" s="2">
        <v>0</v>
      </c>
      <c r="H915">
        <f t="shared" si="46"/>
        <v>-0.94789999999999996</v>
      </c>
      <c r="I915" s="2">
        <v>20.5</v>
      </c>
      <c r="J915">
        <f t="shared" si="44"/>
        <v>-19.431950000000001</v>
      </c>
      <c r="K915">
        <f t="shared" si="45"/>
        <v>0</v>
      </c>
    </row>
    <row r="916" spans="2:11" x14ac:dyDescent="0.25">
      <c r="B916" s="1">
        <v>46141</v>
      </c>
      <c r="C916" t="s">
        <v>30</v>
      </c>
      <c r="E916" t="s">
        <v>26</v>
      </c>
      <c r="F916" t="s">
        <v>292</v>
      </c>
      <c r="G916" s="2">
        <v>0</v>
      </c>
      <c r="H916">
        <f t="shared" si="46"/>
        <v>-0.94789999999999996</v>
      </c>
      <c r="I916" s="2">
        <v>20.5</v>
      </c>
      <c r="J916">
        <f t="shared" si="44"/>
        <v>-19.431950000000001</v>
      </c>
      <c r="K916">
        <f t="shared" si="45"/>
        <v>0</v>
      </c>
    </row>
    <row r="917" spans="2:11" x14ac:dyDescent="0.25">
      <c r="B917" s="1">
        <v>46141</v>
      </c>
      <c r="C917" t="s">
        <v>30</v>
      </c>
      <c r="E917" t="s">
        <v>27</v>
      </c>
      <c r="F917" t="s">
        <v>293</v>
      </c>
      <c r="G917" s="2">
        <v>0.128</v>
      </c>
      <c r="H917">
        <f t="shared" si="46"/>
        <v>7.7877160000000005</v>
      </c>
      <c r="I917" s="2">
        <v>20.5</v>
      </c>
      <c r="J917">
        <f t="shared" si="44"/>
        <v>159.648178</v>
      </c>
      <c r="K917">
        <f t="shared" si="45"/>
        <v>159.648178</v>
      </c>
    </row>
    <row r="918" spans="2:11" x14ac:dyDescent="0.25">
      <c r="B918" s="1">
        <v>46141</v>
      </c>
      <c r="C918" t="s">
        <v>30</v>
      </c>
      <c r="E918" t="s">
        <v>28</v>
      </c>
      <c r="F918" t="s">
        <v>294</v>
      </c>
      <c r="G918" s="2">
        <v>0.128</v>
      </c>
      <c r="H918">
        <f t="shared" si="46"/>
        <v>7.7877160000000005</v>
      </c>
      <c r="I918" s="2">
        <v>20.5</v>
      </c>
      <c r="J918">
        <f t="shared" si="44"/>
        <v>159.648178</v>
      </c>
      <c r="K918">
        <f t="shared" si="45"/>
        <v>159.648178</v>
      </c>
    </row>
    <row r="919" spans="2:11" x14ac:dyDescent="0.25">
      <c r="B919" s="1">
        <v>46141</v>
      </c>
      <c r="C919" t="s">
        <v>30</v>
      </c>
      <c r="E919" t="s">
        <v>29</v>
      </c>
      <c r="F919" t="s">
        <v>295</v>
      </c>
      <c r="G919" s="2">
        <v>0.10199999999999999</v>
      </c>
      <c r="H919">
        <f t="shared" si="46"/>
        <v>6.0132940000000001</v>
      </c>
      <c r="I919" s="2">
        <v>20.5</v>
      </c>
      <c r="J919">
        <f t="shared" si="44"/>
        <v>123.272527</v>
      </c>
      <c r="K919">
        <f t="shared" si="45"/>
        <v>123.272527</v>
      </c>
    </row>
    <row r="920" spans="2:11" x14ac:dyDescent="0.25">
      <c r="B920" s="4">
        <v>46142</v>
      </c>
      <c r="C920" t="s">
        <v>101</v>
      </c>
      <c r="E920" t="s">
        <v>73</v>
      </c>
      <c r="F920" t="s">
        <v>296</v>
      </c>
      <c r="G920" s="2">
        <v>0</v>
      </c>
      <c r="H920">
        <f t="shared" si="46"/>
        <v>-0.94789999999999996</v>
      </c>
      <c r="I920" s="2">
        <v>20.5</v>
      </c>
      <c r="J920">
        <f t="shared" ref="J920:J943" si="47">H920*I920</f>
        <v>-19.431950000000001</v>
      </c>
      <c r="K920">
        <f t="shared" ref="K920:K943" si="48">MAX(J920,0)</f>
        <v>0</v>
      </c>
    </row>
    <row r="921" spans="2:11" x14ac:dyDescent="0.25">
      <c r="B921" s="4">
        <v>46142</v>
      </c>
      <c r="C921" t="s">
        <v>101</v>
      </c>
      <c r="E921" t="s">
        <v>74</v>
      </c>
      <c r="F921" t="s">
        <v>297</v>
      </c>
      <c r="G921" s="2">
        <v>0</v>
      </c>
      <c r="H921">
        <f t="shared" ref="H921:H943" si="49">(68.247*G921)-0.9479</f>
        <v>-0.94789999999999996</v>
      </c>
      <c r="I921" s="2">
        <v>20.5</v>
      </c>
      <c r="J921">
        <f t="shared" si="47"/>
        <v>-19.431950000000001</v>
      </c>
      <c r="K921">
        <f t="shared" si="48"/>
        <v>0</v>
      </c>
    </row>
    <row r="922" spans="2:11" x14ac:dyDescent="0.25">
      <c r="B922" s="4">
        <v>46142</v>
      </c>
      <c r="C922" t="s">
        <v>101</v>
      </c>
      <c r="E922" t="s">
        <v>75</v>
      </c>
      <c r="F922" t="s">
        <v>298</v>
      </c>
      <c r="G922" s="2">
        <v>0</v>
      </c>
      <c r="H922">
        <f t="shared" si="49"/>
        <v>-0.94789999999999996</v>
      </c>
      <c r="I922" s="2">
        <v>20.5</v>
      </c>
      <c r="J922">
        <f t="shared" si="47"/>
        <v>-19.431950000000001</v>
      </c>
      <c r="K922">
        <f t="shared" si="48"/>
        <v>0</v>
      </c>
    </row>
    <row r="923" spans="2:11" x14ac:dyDescent="0.25">
      <c r="B923" s="4">
        <v>46142</v>
      </c>
      <c r="C923" t="s">
        <v>101</v>
      </c>
      <c r="E923" t="s">
        <v>76</v>
      </c>
      <c r="F923" t="s">
        <v>299</v>
      </c>
      <c r="G923" s="2">
        <v>0</v>
      </c>
      <c r="H923">
        <f t="shared" si="49"/>
        <v>-0.94789999999999996</v>
      </c>
      <c r="I923" s="2">
        <v>20.5</v>
      </c>
      <c r="J923">
        <f t="shared" si="47"/>
        <v>-19.431950000000001</v>
      </c>
      <c r="K923">
        <f t="shared" si="48"/>
        <v>0</v>
      </c>
    </row>
    <row r="924" spans="2:11" x14ac:dyDescent="0.25">
      <c r="B924" s="4">
        <v>46142</v>
      </c>
      <c r="C924" t="s">
        <v>101</v>
      </c>
      <c r="E924" t="s">
        <v>77</v>
      </c>
      <c r="F924" t="s">
        <v>300</v>
      </c>
      <c r="G924" s="2">
        <v>0</v>
      </c>
      <c r="H924">
        <f t="shared" si="49"/>
        <v>-0.94789999999999996</v>
      </c>
      <c r="I924" s="2">
        <v>20.5</v>
      </c>
      <c r="J924">
        <f t="shared" si="47"/>
        <v>-19.431950000000001</v>
      </c>
      <c r="K924">
        <f t="shared" si="48"/>
        <v>0</v>
      </c>
    </row>
    <row r="925" spans="2:11" x14ac:dyDescent="0.25">
      <c r="B925" s="4">
        <v>46142</v>
      </c>
      <c r="C925" t="s">
        <v>101</v>
      </c>
      <c r="E925" t="s">
        <v>78</v>
      </c>
      <c r="F925" t="s">
        <v>301</v>
      </c>
      <c r="G925" s="2">
        <v>0</v>
      </c>
      <c r="H925">
        <f t="shared" si="49"/>
        <v>-0.94789999999999996</v>
      </c>
      <c r="I925" s="2">
        <v>20.5</v>
      </c>
      <c r="J925">
        <f t="shared" si="47"/>
        <v>-19.431950000000001</v>
      </c>
      <c r="K925">
        <f t="shared" si="48"/>
        <v>0</v>
      </c>
    </row>
    <row r="926" spans="2:11" x14ac:dyDescent="0.25">
      <c r="B926" s="4">
        <v>46142</v>
      </c>
      <c r="C926" t="s">
        <v>101</v>
      </c>
      <c r="E926" t="s">
        <v>79</v>
      </c>
      <c r="F926" t="s">
        <v>302</v>
      </c>
      <c r="G926" s="2">
        <v>0</v>
      </c>
      <c r="H926">
        <f t="shared" si="49"/>
        <v>-0.94789999999999996</v>
      </c>
      <c r="I926" s="2">
        <v>20.5</v>
      </c>
      <c r="J926">
        <f t="shared" si="47"/>
        <v>-19.431950000000001</v>
      </c>
      <c r="K926">
        <f t="shared" si="48"/>
        <v>0</v>
      </c>
    </row>
    <row r="927" spans="2:11" x14ac:dyDescent="0.25">
      <c r="B927" s="4">
        <v>46142</v>
      </c>
      <c r="C927" t="s">
        <v>101</v>
      </c>
      <c r="E927" t="s">
        <v>80</v>
      </c>
      <c r="F927" t="s">
        <v>303</v>
      </c>
      <c r="G927" s="2">
        <v>0</v>
      </c>
      <c r="H927">
        <f t="shared" si="49"/>
        <v>-0.94789999999999996</v>
      </c>
      <c r="I927" s="2">
        <v>20.5</v>
      </c>
      <c r="J927">
        <f t="shared" si="47"/>
        <v>-19.431950000000001</v>
      </c>
      <c r="K927">
        <f t="shared" si="48"/>
        <v>0</v>
      </c>
    </row>
    <row r="928" spans="2:11" x14ac:dyDescent="0.25">
      <c r="B928" s="4">
        <v>46142</v>
      </c>
      <c r="C928" t="s">
        <v>101</v>
      </c>
      <c r="E928" t="s">
        <v>81</v>
      </c>
      <c r="F928" t="s">
        <v>304</v>
      </c>
      <c r="G928" s="2">
        <v>0</v>
      </c>
      <c r="H928">
        <f t="shared" si="49"/>
        <v>-0.94789999999999996</v>
      </c>
      <c r="I928" s="2">
        <v>20.5</v>
      </c>
      <c r="J928">
        <f t="shared" si="47"/>
        <v>-19.431950000000001</v>
      </c>
      <c r="K928">
        <f t="shared" si="48"/>
        <v>0</v>
      </c>
    </row>
    <row r="929" spans="2:11" x14ac:dyDescent="0.25">
      <c r="B929" s="4">
        <v>46142</v>
      </c>
      <c r="C929" t="s">
        <v>101</v>
      </c>
      <c r="D929" t="s">
        <v>98</v>
      </c>
      <c r="E929" t="s">
        <v>95</v>
      </c>
      <c r="F929" t="s">
        <v>305</v>
      </c>
      <c r="G929" s="2">
        <v>0</v>
      </c>
      <c r="H929">
        <f t="shared" si="49"/>
        <v>-0.94789999999999996</v>
      </c>
      <c r="I929" s="2">
        <v>1</v>
      </c>
      <c r="J929">
        <f t="shared" si="47"/>
        <v>-0.94789999999999996</v>
      </c>
      <c r="K929">
        <f t="shared" si="48"/>
        <v>0</v>
      </c>
    </row>
    <row r="930" spans="2:11" x14ac:dyDescent="0.25">
      <c r="B930" s="4">
        <v>46142</v>
      </c>
      <c r="C930" t="s">
        <v>101</v>
      </c>
      <c r="D930" t="s">
        <v>98</v>
      </c>
      <c r="E930" t="s">
        <v>96</v>
      </c>
      <c r="F930" t="s">
        <v>306</v>
      </c>
      <c r="G930" s="2">
        <v>0</v>
      </c>
      <c r="H930">
        <f t="shared" si="49"/>
        <v>-0.94789999999999996</v>
      </c>
      <c r="I930" s="2">
        <v>1</v>
      </c>
      <c r="J930">
        <f t="shared" si="47"/>
        <v>-0.94789999999999996</v>
      </c>
      <c r="K930">
        <f t="shared" si="48"/>
        <v>0</v>
      </c>
    </row>
    <row r="931" spans="2:11" x14ac:dyDescent="0.25">
      <c r="B931" s="4">
        <v>46142</v>
      </c>
      <c r="C931" t="s">
        <v>101</v>
      </c>
      <c r="D931" t="s">
        <v>98</v>
      </c>
      <c r="E931" t="s">
        <v>97</v>
      </c>
      <c r="F931" t="s">
        <v>307</v>
      </c>
      <c r="G931" s="2">
        <v>0</v>
      </c>
      <c r="H931">
        <f t="shared" si="49"/>
        <v>-0.94789999999999996</v>
      </c>
      <c r="I931" s="2">
        <v>1</v>
      </c>
      <c r="J931">
        <f t="shared" si="47"/>
        <v>-0.94789999999999996</v>
      </c>
      <c r="K931">
        <f t="shared" si="48"/>
        <v>0</v>
      </c>
    </row>
    <row r="932" spans="2:11" x14ac:dyDescent="0.25">
      <c r="B932" s="1">
        <v>46142</v>
      </c>
      <c r="C932" t="s">
        <v>102</v>
      </c>
      <c r="E932" t="s">
        <v>73</v>
      </c>
      <c r="F932" t="s">
        <v>308</v>
      </c>
      <c r="G932" s="2">
        <v>0</v>
      </c>
      <c r="H932">
        <f t="shared" si="49"/>
        <v>-0.94789999999999996</v>
      </c>
      <c r="I932" s="2">
        <v>20.5</v>
      </c>
      <c r="J932">
        <f t="shared" si="47"/>
        <v>-19.431950000000001</v>
      </c>
      <c r="K932">
        <f t="shared" si="48"/>
        <v>0</v>
      </c>
    </row>
    <row r="933" spans="2:11" x14ac:dyDescent="0.25">
      <c r="B933" s="1">
        <v>46142</v>
      </c>
      <c r="C933" t="s">
        <v>102</v>
      </c>
      <c r="E933" t="s">
        <v>74</v>
      </c>
      <c r="F933" t="s">
        <v>309</v>
      </c>
      <c r="G933" s="2">
        <v>0</v>
      </c>
      <c r="H933">
        <f t="shared" si="49"/>
        <v>-0.94789999999999996</v>
      </c>
      <c r="I933" s="2">
        <v>20.5</v>
      </c>
      <c r="J933">
        <f t="shared" si="47"/>
        <v>-19.431950000000001</v>
      </c>
      <c r="K933">
        <f t="shared" si="48"/>
        <v>0</v>
      </c>
    </row>
    <row r="934" spans="2:11" x14ac:dyDescent="0.25">
      <c r="B934" s="1">
        <v>46142</v>
      </c>
      <c r="C934" t="s">
        <v>102</v>
      </c>
      <c r="E934" t="s">
        <v>75</v>
      </c>
      <c r="F934" t="s">
        <v>310</v>
      </c>
      <c r="G934" s="2">
        <v>0</v>
      </c>
      <c r="H934">
        <f t="shared" si="49"/>
        <v>-0.94789999999999996</v>
      </c>
      <c r="I934" s="2">
        <v>20.5</v>
      </c>
      <c r="J934">
        <f t="shared" si="47"/>
        <v>-19.431950000000001</v>
      </c>
      <c r="K934">
        <f t="shared" si="48"/>
        <v>0</v>
      </c>
    </row>
    <row r="935" spans="2:11" x14ac:dyDescent="0.25">
      <c r="B935" s="1">
        <v>46142</v>
      </c>
      <c r="C935" t="s">
        <v>102</v>
      </c>
      <c r="E935" t="s">
        <v>76</v>
      </c>
      <c r="F935" t="s">
        <v>311</v>
      </c>
      <c r="G935" s="2">
        <v>0</v>
      </c>
      <c r="H935">
        <f t="shared" si="49"/>
        <v>-0.94789999999999996</v>
      </c>
      <c r="I935" s="2">
        <v>20.5</v>
      </c>
      <c r="J935">
        <f t="shared" si="47"/>
        <v>-19.431950000000001</v>
      </c>
      <c r="K935">
        <f t="shared" si="48"/>
        <v>0</v>
      </c>
    </row>
    <row r="936" spans="2:11" x14ac:dyDescent="0.25">
      <c r="B936" s="1">
        <v>46142</v>
      </c>
      <c r="C936" t="s">
        <v>102</v>
      </c>
      <c r="E936" t="s">
        <v>77</v>
      </c>
      <c r="F936" t="s">
        <v>312</v>
      </c>
      <c r="G936" s="2">
        <v>0</v>
      </c>
      <c r="H936">
        <f t="shared" si="49"/>
        <v>-0.94789999999999996</v>
      </c>
      <c r="I936" s="2">
        <v>20.5</v>
      </c>
      <c r="J936">
        <f t="shared" si="47"/>
        <v>-19.431950000000001</v>
      </c>
      <c r="K936">
        <f t="shared" si="48"/>
        <v>0</v>
      </c>
    </row>
    <row r="937" spans="2:11" x14ac:dyDescent="0.25">
      <c r="B937" s="1">
        <v>46142</v>
      </c>
      <c r="C937" t="s">
        <v>102</v>
      </c>
      <c r="E937" t="s">
        <v>78</v>
      </c>
      <c r="F937" t="s">
        <v>313</v>
      </c>
      <c r="G937" s="2">
        <v>0</v>
      </c>
      <c r="H937">
        <f t="shared" si="49"/>
        <v>-0.94789999999999996</v>
      </c>
      <c r="I937" s="2">
        <v>20.5</v>
      </c>
      <c r="J937">
        <f t="shared" si="47"/>
        <v>-19.431950000000001</v>
      </c>
      <c r="K937">
        <f t="shared" si="48"/>
        <v>0</v>
      </c>
    </row>
    <row r="938" spans="2:11" x14ac:dyDescent="0.25">
      <c r="B938" s="1">
        <v>46142</v>
      </c>
      <c r="C938" t="s">
        <v>102</v>
      </c>
      <c r="E938" t="s">
        <v>79</v>
      </c>
      <c r="F938" t="s">
        <v>314</v>
      </c>
      <c r="G938" s="2">
        <v>0</v>
      </c>
      <c r="H938">
        <f t="shared" si="49"/>
        <v>-0.94789999999999996</v>
      </c>
      <c r="I938" s="2">
        <v>20.5</v>
      </c>
      <c r="J938">
        <f t="shared" si="47"/>
        <v>-19.431950000000001</v>
      </c>
      <c r="K938">
        <f t="shared" si="48"/>
        <v>0</v>
      </c>
    </row>
    <row r="939" spans="2:11" x14ac:dyDescent="0.25">
      <c r="B939" s="1">
        <v>46142</v>
      </c>
      <c r="C939" t="s">
        <v>102</v>
      </c>
      <c r="E939" t="s">
        <v>80</v>
      </c>
      <c r="F939" t="s">
        <v>315</v>
      </c>
      <c r="G939" s="2">
        <v>0</v>
      </c>
      <c r="H939">
        <f t="shared" si="49"/>
        <v>-0.94789999999999996</v>
      </c>
      <c r="I939" s="2">
        <v>20.5</v>
      </c>
      <c r="J939">
        <f t="shared" si="47"/>
        <v>-19.431950000000001</v>
      </c>
      <c r="K939">
        <f t="shared" si="48"/>
        <v>0</v>
      </c>
    </row>
    <row r="940" spans="2:11" x14ac:dyDescent="0.25">
      <c r="B940" s="1">
        <v>46142</v>
      </c>
      <c r="C940" t="s">
        <v>102</v>
      </c>
      <c r="E940" t="s">
        <v>81</v>
      </c>
      <c r="F940" t="s">
        <v>316</v>
      </c>
      <c r="G940" s="2">
        <v>0</v>
      </c>
      <c r="H940">
        <f t="shared" si="49"/>
        <v>-0.94789999999999996</v>
      </c>
      <c r="I940" s="2">
        <v>20.5</v>
      </c>
      <c r="J940">
        <f t="shared" si="47"/>
        <v>-19.431950000000001</v>
      </c>
      <c r="K940">
        <f t="shared" si="48"/>
        <v>0</v>
      </c>
    </row>
    <row r="941" spans="2:11" x14ac:dyDescent="0.25">
      <c r="B941" s="1">
        <v>46142</v>
      </c>
      <c r="C941" t="s">
        <v>102</v>
      </c>
      <c r="D941" t="s">
        <v>98</v>
      </c>
      <c r="E941" t="s">
        <v>95</v>
      </c>
      <c r="F941" t="s">
        <v>317</v>
      </c>
      <c r="G941" s="2">
        <v>0</v>
      </c>
      <c r="H941">
        <f t="shared" si="49"/>
        <v>-0.94789999999999996</v>
      </c>
      <c r="I941" s="2">
        <v>1</v>
      </c>
      <c r="J941">
        <f t="shared" si="47"/>
        <v>-0.94789999999999996</v>
      </c>
      <c r="K941">
        <f t="shared" si="48"/>
        <v>0</v>
      </c>
    </row>
    <row r="942" spans="2:11" x14ac:dyDescent="0.25">
      <c r="B942" s="1">
        <v>46142</v>
      </c>
      <c r="C942" t="s">
        <v>102</v>
      </c>
      <c r="D942" t="s">
        <v>98</v>
      </c>
      <c r="E942" t="s">
        <v>96</v>
      </c>
      <c r="F942" t="s">
        <v>318</v>
      </c>
      <c r="G942" s="2">
        <v>0</v>
      </c>
      <c r="H942">
        <f t="shared" si="49"/>
        <v>-0.94789999999999996</v>
      </c>
      <c r="I942" s="2">
        <v>1</v>
      </c>
      <c r="J942">
        <f t="shared" si="47"/>
        <v>-0.94789999999999996</v>
      </c>
      <c r="K942">
        <f t="shared" si="48"/>
        <v>0</v>
      </c>
    </row>
    <row r="943" spans="2:11" x14ac:dyDescent="0.25">
      <c r="B943" s="1">
        <v>46142</v>
      </c>
      <c r="C943" t="s">
        <v>102</v>
      </c>
      <c r="D943" t="s">
        <v>98</v>
      </c>
      <c r="E943" t="s">
        <v>97</v>
      </c>
      <c r="F943" t="s">
        <v>319</v>
      </c>
      <c r="G943" s="2">
        <v>0</v>
      </c>
      <c r="H943">
        <f t="shared" si="49"/>
        <v>-0.94789999999999996</v>
      </c>
      <c r="I943" s="2">
        <v>1</v>
      </c>
      <c r="J943">
        <f t="shared" si="47"/>
        <v>-0.94789999999999996</v>
      </c>
      <c r="K943">
        <f t="shared" si="48"/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D9CD-834D-3D4E-B929-C47ECF3B98E9}">
  <dimension ref="A1:K947"/>
  <sheetViews>
    <sheetView tabSelected="1" topLeftCell="C1" workbookViewId="0">
      <pane ySplit="1" topLeftCell="A643" activePane="bottomLeft" state="frozen"/>
      <selection pane="bottomLeft" activeCell="C864" sqref="C864"/>
    </sheetView>
  </sheetViews>
  <sheetFormatPr defaultColWidth="11" defaultRowHeight="15.75" x14ac:dyDescent="0.25"/>
  <cols>
    <col min="1" max="1" width="15.125" customWidth="1"/>
    <col min="2" max="2" width="20.875" customWidth="1"/>
    <col min="3" max="3" width="12" customWidth="1"/>
    <col min="6" max="6" width="20.875" customWidth="1"/>
    <col min="8" max="8" width="26.5" customWidth="1"/>
    <col min="9" max="9" width="16.5" customWidth="1"/>
    <col min="10" max="10" width="28.125" customWidth="1"/>
    <col min="11" max="11" width="21.875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0</v>
      </c>
      <c r="H1" t="s">
        <v>31</v>
      </c>
      <c r="I1" t="s">
        <v>92</v>
      </c>
      <c r="J1" t="s">
        <v>86</v>
      </c>
      <c r="K1" t="s">
        <v>32</v>
      </c>
    </row>
    <row r="2" spans="1:11" x14ac:dyDescent="0.25">
      <c r="A2" s="1">
        <v>45666</v>
      </c>
      <c r="B2" s="1">
        <v>45636</v>
      </c>
      <c r="C2" s="2">
        <v>1</v>
      </c>
      <c r="D2" s="2"/>
      <c r="E2" s="2">
        <v>1</v>
      </c>
      <c r="F2" t="s">
        <v>33</v>
      </c>
      <c r="G2" s="2">
        <v>2.3E-2</v>
      </c>
      <c r="H2">
        <f>(422.55*G2)-10.416</f>
        <v>-0.69735000000000014</v>
      </c>
      <c r="I2">
        <v>20</v>
      </c>
      <c r="J2">
        <f>H2*I2</f>
        <v>-13.947000000000003</v>
      </c>
      <c r="K2">
        <f>MAX(J2,0)</f>
        <v>0</v>
      </c>
    </row>
    <row r="3" spans="1:11" x14ac:dyDescent="0.25">
      <c r="A3" s="1">
        <v>45666</v>
      </c>
      <c r="B3" s="1">
        <v>45636</v>
      </c>
      <c r="C3" s="2">
        <v>1</v>
      </c>
      <c r="D3" s="2"/>
      <c r="E3" s="2">
        <v>2</v>
      </c>
      <c r="F3" t="s">
        <v>33</v>
      </c>
      <c r="G3" s="2">
        <v>3.3000000000000002E-2</v>
      </c>
      <c r="H3">
        <f t="shared" ref="H3:H54" si="0">(422.55*G3)-10.416</f>
        <v>3.5281500000000001</v>
      </c>
      <c r="I3">
        <v>20</v>
      </c>
      <c r="J3">
        <f t="shared" ref="J3:J33" si="1">H3*I3</f>
        <v>70.563000000000002</v>
      </c>
      <c r="K3">
        <f t="shared" ref="K3:K66" si="2">MAX(J3,0)</f>
        <v>70.563000000000002</v>
      </c>
    </row>
    <row r="4" spans="1:11" x14ac:dyDescent="0.25">
      <c r="A4" s="1">
        <v>45666</v>
      </c>
      <c r="B4" s="1">
        <v>45636</v>
      </c>
      <c r="C4" s="2">
        <v>1</v>
      </c>
      <c r="D4" s="2"/>
      <c r="E4" s="2">
        <v>3</v>
      </c>
      <c r="F4" t="s">
        <v>33</v>
      </c>
      <c r="G4" s="2">
        <v>4.2000000000000003E-2</v>
      </c>
      <c r="H4">
        <f t="shared" si="0"/>
        <v>7.3311000000000028</v>
      </c>
      <c r="I4">
        <v>20</v>
      </c>
      <c r="J4">
        <f t="shared" si="1"/>
        <v>146.62200000000007</v>
      </c>
      <c r="K4">
        <f t="shared" si="2"/>
        <v>146.62200000000007</v>
      </c>
    </row>
    <row r="5" spans="1:11" x14ac:dyDescent="0.25">
      <c r="A5" s="1">
        <v>45666</v>
      </c>
      <c r="B5" s="1">
        <v>45636</v>
      </c>
      <c r="C5" s="2">
        <v>2</v>
      </c>
      <c r="D5" s="2"/>
      <c r="E5" s="2">
        <v>1</v>
      </c>
      <c r="F5" t="s">
        <v>33</v>
      </c>
      <c r="G5" s="2">
        <v>2.8000000000000001E-2</v>
      </c>
      <c r="H5">
        <f t="shared" si="0"/>
        <v>1.4154</v>
      </c>
      <c r="I5">
        <v>20</v>
      </c>
      <c r="J5">
        <f t="shared" si="1"/>
        <v>28.308</v>
      </c>
      <c r="K5">
        <f t="shared" si="2"/>
        <v>28.308</v>
      </c>
    </row>
    <row r="6" spans="1:11" x14ac:dyDescent="0.25">
      <c r="A6" s="1">
        <v>45666</v>
      </c>
      <c r="B6" s="1">
        <v>45636</v>
      </c>
      <c r="C6" s="2">
        <v>2</v>
      </c>
      <c r="D6" s="2"/>
      <c r="E6" s="2">
        <v>2</v>
      </c>
      <c r="F6" t="s">
        <v>33</v>
      </c>
      <c r="G6" s="2">
        <v>2.5000000000000001E-2</v>
      </c>
      <c r="H6">
        <f t="shared" si="0"/>
        <v>0.14775000000000027</v>
      </c>
      <c r="I6">
        <v>20</v>
      </c>
      <c r="J6">
        <f t="shared" si="1"/>
        <v>2.9550000000000054</v>
      </c>
      <c r="K6">
        <f t="shared" si="2"/>
        <v>2.9550000000000054</v>
      </c>
    </row>
    <row r="7" spans="1:11" x14ac:dyDescent="0.25">
      <c r="A7" s="1">
        <v>45666</v>
      </c>
      <c r="B7" s="1">
        <v>45636</v>
      </c>
      <c r="C7" s="2">
        <v>2</v>
      </c>
      <c r="D7" s="2"/>
      <c r="E7" s="2">
        <v>3</v>
      </c>
      <c r="F7" t="s">
        <v>33</v>
      </c>
      <c r="G7" s="2">
        <v>7.0000000000000001E-3</v>
      </c>
      <c r="H7">
        <f t="shared" si="0"/>
        <v>-7.4581499999999998</v>
      </c>
      <c r="I7">
        <v>20</v>
      </c>
      <c r="J7">
        <f t="shared" si="1"/>
        <v>-149.16300000000001</v>
      </c>
      <c r="K7">
        <f t="shared" si="2"/>
        <v>0</v>
      </c>
    </row>
    <row r="8" spans="1:11" x14ac:dyDescent="0.25">
      <c r="A8" s="1">
        <v>45666</v>
      </c>
      <c r="B8" s="1">
        <v>45636</v>
      </c>
      <c r="C8" s="2">
        <v>3</v>
      </c>
      <c r="D8" s="2"/>
      <c r="E8" s="2">
        <v>1</v>
      </c>
      <c r="F8" t="s">
        <v>33</v>
      </c>
      <c r="G8" s="2">
        <v>2.8000000000000001E-2</v>
      </c>
      <c r="H8">
        <f t="shared" si="0"/>
        <v>1.4154</v>
      </c>
      <c r="I8">
        <v>20</v>
      </c>
      <c r="J8">
        <f t="shared" si="1"/>
        <v>28.308</v>
      </c>
      <c r="K8">
        <f t="shared" si="2"/>
        <v>28.308</v>
      </c>
    </row>
    <row r="9" spans="1:11" x14ac:dyDescent="0.25">
      <c r="A9" s="1">
        <v>45666</v>
      </c>
      <c r="B9" s="1">
        <v>45636</v>
      </c>
      <c r="C9" s="2">
        <v>3</v>
      </c>
      <c r="D9" s="2"/>
      <c r="E9" s="2">
        <v>2</v>
      </c>
      <c r="F9" t="s">
        <v>33</v>
      </c>
      <c r="G9" s="2">
        <v>0.03</v>
      </c>
      <c r="H9">
        <f t="shared" si="0"/>
        <v>2.2604999999999986</v>
      </c>
      <c r="I9">
        <v>20</v>
      </c>
      <c r="J9">
        <f t="shared" si="1"/>
        <v>45.209999999999972</v>
      </c>
      <c r="K9">
        <f t="shared" si="2"/>
        <v>45.209999999999972</v>
      </c>
    </row>
    <row r="10" spans="1:11" x14ac:dyDescent="0.25">
      <c r="A10" s="1">
        <v>45666</v>
      </c>
      <c r="B10" s="1">
        <v>45636</v>
      </c>
      <c r="C10" s="2">
        <v>3</v>
      </c>
      <c r="D10" s="2"/>
      <c r="E10" s="2">
        <v>3</v>
      </c>
      <c r="F10" t="s">
        <v>33</v>
      </c>
      <c r="G10" s="2">
        <v>2.3E-2</v>
      </c>
      <c r="H10">
        <f t="shared" si="0"/>
        <v>-0.69735000000000014</v>
      </c>
      <c r="I10">
        <v>20</v>
      </c>
      <c r="J10">
        <f t="shared" si="1"/>
        <v>-13.947000000000003</v>
      </c>
      <c r="K10">
        <f t="shared" si="2"/>
        <v>0</v>
      </c>
    </row>
    <row r="11" spans="1:11" x14ac:dyDescent="0.25">
      <c r="A11" s="1">
        <v>45666</v>
      </c>
      <c r="B11" s="1">
        <v>45636</v>
      </c>
      <c r="C11" s="2">
        <v>4</v>
      </c>
      <c r="D11" s="2"/>
      <c r="E11" s="2">
        <v>1</v>
      </c>
      <c r="F11" t="s">
        <v>33</v>
      </c>
      <c r="G11" s="2">
        <v>2.4E-2</v>
      </c>
      <c r="H11">
        <f t="shared" si="0"/>
        <v>-0.27479999999999905</v>
      </c>
      <c r="I11">
        <v>20</v>
      </c>
      <c r="J11">
        <f t="shared" si="1"/>
        <v>-5.4959999999999809</v>
      </c>
      <c r="K11">
        <f t="shared" si="2"/>
        <v>0</v>
      </c>
    </row>
    <row r="12" spans="1:11" x14ac:dyDescent="0.25">
      <c r="A12" s="1">
        <v>45666</v>
      </c>
      <c r="B12" s="1">
        <v>45636</v>
      </c>
      <c r="C12" s="2">
        <v>4</v>
      </c>
      <c r="D12" s="2"/>
      <c r="E12" s="2">
        <v>2</v>
      </c>
      <c r="F12" t="s">
        <v>33</v>
      </c>
      <c r="G12" s="2">
        <v>2.4E-2</v>
      </c>
      <c r="H12">
        <f t="shared" si="0"/>
        <v>-0.27479999999999905</v>
      </c>
      <c r="I12">
        <v>20</v>
      </c>
      <c r="J12">
        <f t="shared" si="1"/>
        <v>-5.4959999999999809</v>
      </c>
      <c r="K12">
        <f t="shared" si="2"/>
        <v>0</v>
      </c>
    </row>
    <row r="13" spans="1:11" x14ac:dyDescent="0.25">
      <c r="A13" s="1">
        <v>45666</v>
      </c>
      <c r="B13" s="1">
        <v>45636</v>
      </c>
      <c r="C13" s="2">
        <v>4</v>
      </c>
      <c r="D13" s="2"/>
      <c r="E13" s="2">
        <v>3</v>
      </c>
      <c r="F13" t="s">
        <v>33</v>
      </c>
      <c r="G13" s="2">
        <v>3.1E-2</v>
      </c>
      <c r="H13">
        <f t="shared" si="0"/>
        <v>2.6830499999999997</v>
      </c>
      <c r="I13">
        <v>20</v>
      </c>
      <c r="J13">
        <f t="shared" si="1"/>
        <v>53.660999999999994</v>
      </c>
      <c r="K13">
        <f t="shared" si="2"/>
        <v>53.660999999999994</v>
      </c>
    </row>
    <row r="14" spans="1:11" x14ac:dyDescent="0.25">
      <c r="A14" s="1">
        <v>45666</v>
      </c>
      <c r="B14" s="1">
        <v>45636</v>
      </c>
      <c r="C14" s="2">
        <v>5</v>
      </c>
      <c r="D14" s="2"/>
      <c r="E14" s="2">
        <v>1</v>
      </c>
      <c r="F14" t="s">
        <v>33</v>
      </c>
      <c r="G14" s="2">
        <v>2.5999999999999999E-2</v>
      </c>
      <c r="H14">
        <f t="shared" si="0"/>
        <v>0.57029999999999959</v>
      </c>
      <c r="I14">
        <v>20</v>
      </c>
      <c r="J14">
        <f t="shared" si="1"/>
        <v>11.405999999999992</v>
      </c>
      <c r="K14">
        <f t="shared" si="2"/>
        <v>11.405999999999992</v>
      </c>
    </row>
    <row r="15" spans="1:11" x14ac:dyDescent="0.25">
      <c r="A15" s="1">
        <v>45666</v>
      </c>
      <c r="B15" s="1">
        <v>45636</v>
      </c>
      <c r="C15" s="2">
        <v>5</v>
      </c>
      <c r="D15" s="2"/>
      <c r="E15" s="2">
        <v>2</v>
      </c>
      <c r="F15" t="s">
        <v>33</v>
      </c>
      <c r="G15" s="2">
        <v>2.1000000000000001E-2</v>
      </c>
      <c r="H15">
        <f t="shared" si="0"/>
        <v>-1.5424499999999988</v>
      </c>
      <c r="I15">
        <v>20</v>
      </c>
      <c r="J15">
        <f t="shared" si="1"/>
        <v>-30.848999999999975</v>
      </c>
      <c r="K15">
        <f t="shared" si="2"/>
        <v>0</v>
      </c>
    </row>
    <row r="16" spans="1:11" x14ac:dyDescent="0.25">
      <c r="A16" s="1">
        <v>45666</v>
      </c>
      <c r="B16" s="1">
        <v>45636</v>
      </c>
      <c r="C16" s="2">
        <v>5</v>
      </c>
      <c r="D16" s="2"/>
      <c r="E16" s="2">
        <v>3</v>
      </c>
      <c r="F16" t="s">
        <v>33</v>
      </c>
      <c r="G16" s="2">
        <v>2.4E-2</v>
      </c>
      <c r="H16">
        <f t="shared" si="0"/>
        <v>-0.27479999999999905</v>
      </c>
      <c r="I16">
        <v>20</v>
      </c>
      <c r="J16">
        <f t="shared" si="1"/>
        <v>-5.4959999999999809</v>
      </c>
      <c r="K16">
        <f t="shared" si="2"/>
        <v>0</v>
      </c>
    </row>
    <row r="17" spans="1:11" x14ac:dyDescent="0.25">
      <c r="A17" s="1">
        <v>45666</v>
      </c>
      <c r="B17" s="1">
        <v>45636</v>
      </c>
      <c r="C17" s="2">
        <v>6</v>
      </c>
      <c r="D17" s="2"/>
      <c r="E17" s="2">
        <v>1</v>
      </c>
      <c r="F17" t="s">
        <v>33</v>
      </c>
      <c r="G17" s="2">
        <v>2.5999999999999999E-2</v>
      </c>
      <c r="H17">
        <f t="shared" si="0"/>
        <v>0.57029999999999959</v>
      </c>
      <c r="I17">
        <v>20</v>
      </c>
      <c r="J17">
        <f t="shared" si="1"/>
        <v>11.405999999999992</v>
      </c>
      <c r="K17">
        <f t="shared" si="2"/>
        <v>11.405999999999992</v>
      </c>
    </row>
    <row r="18" spans="1:11" x14ac:dyDescent="0.25">
      <c r="A18" s="1">
        <v>45666</v>
      </c>
      <c r="B18" s="1">
        <v>45636</v>
      </c>
      <c r="C18" s="2">
        <v>6</v>
      </c>
      <c r="D18" s="2"/>
      <c r="E18" s="2">
        <v>2</v>
      </c>
      <c r="F18" t="s">
        <v>33</v>
      </c>
      <c r="G18" s="2">
        <v>1.0999999999999999E-2</v>
      </c>
      <c r="H18">
        <f t="shared" si="0"/>
        <v>-5.7679500000000008</v>
      </c>
      <c r="I18">
        <v>20</v>
      </c>
      <c r="J18">
        <f t="shared" si="1"/>
        <v>-115.35900000000001</v>
      </c>
      <c r="K18">
        <f t="shared" si="2"/>
        <v>0</v>
      </c>
    </row>
    <row r="19" spans="1:11" x14ac:dyDescent="0.25">
      <c r="A19" s="1">
        <v>45666</v>
      </c>
      <c r="B19" s="1">
        <v>45636</v>
      </c>
      <c r="C19" s="2">
        <v>6</v>
      </c>
      <c r="D19" s="2"/>
      <c r="E19" s="2">
        <v>3</v>
      </c>
      <c r="F19" t="s">
        <v>33</v>
      </c>
      <c r="G19" s="2">
        <v>3.5999999999999997E-2</v>
      </c>
      <c r="H19">
        <f t="shared" si="0"/>
        <v>4.7957999999999981</v>
      </c>
      <c r="I19">
        <v>20</v>
      </c>
      <c r="J19">
        <f t="shared" si="1"/>
        <v>95.915999999999968</v>
      </c>
      <c r="K19">
        <f t="shared" si="2"/>
        <v>95.915999999999968</v>
      </c>
    </row>
    <row r="20" spans="1:11" x14ac:dyDescent="0.25">
      <c r="A20" s="1">
        <v>45666</v>
      </c>
      <c r="B20" s="1">
        <v>45637</v>
      </c>
      <c r="C20" t="s">
        <v>12</v>
      </c>
      <c r="E20" t="s">
        <v>13</v>
      </c>
      <c r="F20" t="s">
        <v>33</v>
      </c>
      <c r="G20" s="2">
        <v>2.1000000000000001E-2</v>
      </c>
      <c r="H20">
        <f t="shared" si="0"/>
        <v>-1.5424499999999988</v>
      </c>
      <c r="I20">
        <v>20</v>
      </c>
      <c r="J20">
        <f t="shared" si="1"/>
        <v>-30.848999999999975</v>
      </c>
      <c r="K20">
        <f t="shared" si="2"/>
        <v>0</v>
      </c>
    </row>
    <row r="21" spans="1:11" x14ac:dyDescent="0.25">
      <c r="A21" s="1">
        <v>45666</v>
      </c>
      <c r="B21" s="1">
        <v>45637</v>
      </c>
      <c r="C21" t="s">
        <v>12</v>
      </c>
      <c r="E21" t="s">
        <v>14</v>
      </c>
      <c r="F21" t="s">
        <v>33</v>
      </c>
      <c r="G21" s="2">
        <v>2.8000000000000001E-2</v>
      </c>
      <c r="H21">
        <f t="shared" si="0"/>
        <v>1.4154</v>
      </c>
      <c r="I21">
        <v>20</v>
      </c>
      <c r="J21">
        <f t="shared" si="1"/>
        <v>28.308</v>
      </c>
      <c r="K21">
        <f t="shared" si="2"/>
        <v>28.308</v>
      </c>
    </row>
    <row r="22" spans="1:11" x14ac:dyDescent="0.25">
      <c r="A22" s="1">
        <v>45666</v>
      </c>
      <c r="B22" s="1">
        <v>45637</v>
      </c>
      <c r="C22" t="s">
        <v>12</v>
      </c>
      <c r="E22" t="s">
        <v>15</v>
      </c>
      <c r="F22" t="s">
        <v>33</v>
      </c>
      <c r="G22" s="2">
        <v>1.4999999999999999E-2</v>
      </c>
      <c r="H22">
        <f t="shared" si="0"/>
        <v>-4.0777500000000009</v>
      </c>
      <c r="I22">
        <v>20</v>
      </c>
      <c r="J22">
        <f t="shared" si="1"/>
        <v>-81.555000000000021</v>
      </c>
      <c r="K22">
        <f t="shared" si="2"/>
        <v>0</v>
      </c>
    </row>
    <row r="23" spans="1:11" x14ac:dyDescent="0.25">
      <c r="A23" s="1">
        <v>45666</v>
      </c>
      <c r="B23" s="1">
        <v>45637</v>
      </c>
      <c r="C23" t="s">
        <v>12</v>
      </c>
      <c r="E23" t="s">
        <v>16</v>
      </c>
      <c r="F23" t="s">
        <v>33</v>
      </c>
      <c r="G23" s="2">
        <v>1.9E-2</v>
      </c>
      <c r="H23">
        <f t="shared" si="0"/>
        <v>-2.3875500000000009</v>
      </c>
      <c r="I23">
        <v>20</v>
      </c>
      <c r="J23">
        <f t="shared" si="1"/>
        <v>-47.751000000000019</v>
      </c>
      <c r="K23">
        <f t="shared" si="2"/>
        <v>0</v>
      </c>
    </row>
    <row r="24" spans="1:11" x14ac:dyDescent="0.25">
      <c r="A24" s="1">
        <v>45666</v>
      </c>
      <c r="B24" s="1">
        <v>45637</v>
      </c>
      <c r="C24" t="s">
        <v>12</v>
      </c>
      <c r="E24" t="s">
        <v>17</v>
      </c>
      <c r="F24" t="s">
        <v>33</v>
      </c>
      <c r="G24" s="2">
        <v>1.0999999999999999E-2</v>
      </c>
      <c r="H24">
        <f t="shared" si="0"/>
        <v>-5.7679500000000008</v>
      </c>
      <c r="I24">
        <v>20</v>
      </c>
      <c r="J24">
        <f t="shared" si="1"/>
        <v>-115.35900000000001</v>
      </c>
      <c r="K24">
        <f t="shared" si="2"/>
        <v>0</v>
      </c>
    </row>
    <row r="25" spans="1:11" x14ac:dyDescent="0.25">
      <c r="A25" s="1">
        <v>45666</v>
      </c>
      <c r="B25" s="1">
        <v>45637</v>
      </c>
      <c r="C25" t="s">
        <v>12</v>
      </c>
      <c r="E25" t="s">
        <v>12</v>
      </c>
      <c r="F25" t="s">
        <v>33</v>
      </c>
      <c r="G25" s="2">
        <v>2.4E-2</v>
      </c>
      <c r="H25">
        <f t="shared" si="0"/>
        <v>-0.27479999999999905</v>
      </c>
      <c r="I25">
        <v>20</v>
      </c>
      <c r="J25">
        <f t="shared" si="1"/>
        <v>-5.4959999999999809</v>
      </c>
      <c r="K25">
        <f t="shared" si="2"/>
        <v>0</v>
      </c>
    </row>
    <row r="26" spans="1:11" x14ac:dyDescent="0.25">
      <c r="A26" s="1">
        <v>45666</v>
      </c>
      <c r="B26" s="1">
        <v>45637</v>
      </c>
      <c r="C26" t="s">
        <v>12</v>
      </c>
      <c r="E26" t="s">
        <v>18</v>
      </c>
      <c r="F26" t="s">
        <v>33</v>
      </c>
      <c r="G26" s="2">
        <v>0.02</v>
      </c>
      <c r="H26">
        <f t="shared" si="0"/>
        <v>-1.9649999999999999</v>
      </c>
      <c r="I26">
        <v>20</v>
      </c>
      <c r="J26">
        <f t="shared" si="1"/>
        <v>-39.299999999999997</v>
      </c>
      <c r="K26">
        <f t="shared" si="2"/>
        <v>0</v>
      </c>
    </row>
    <row r="27" spans="1:11" x14ac:dyDescent="0.25">
      <c r="A27" s="1">
        <v>45666</v>
      </c>
      <c r="B27" s="1">
        <v>45637</v>
      </c>
      <c r="C27" t="s">
        <v>12</v>
      </c>
      <c r="E27" t="s">
        <v>19</v>
      </c>
      <c r="F27" t="s">
        <v>33</v>
      </c>
      <c r="G27" s="2">
        <v>2.3E-2</v>
      </c>
      <c r="H27">
        <f t="shared" si="0"/>
        <v>-0.69735000000000014</v>
      </c>
      <c r="I27">
        <v>20</v>
      </c>
      <c r="J27">
        <f t="shared" si="1"/>
        <v>-13.947000000000003</v>
      </c>
      <c r="K27">
        <f t="shared" si="2"/>
        <v>0</v>
      </c>
    </row>
    <row r="28" spans="1:11" x14ac:dyDescent="0.25">
      <c r="A28" s="1">
        <v>45666</v>
      </c>
      <c r="B28" s="1">
        <v>45637</v>
      </c>
      <c r="C28" t="s">
        <v>12</v>
      </c>
      <c r="E28" t="s">
        <v>20</v>
      </c>
      <c r="F28" t="s">
        <v>33</v>
      </c>
      <c r="G28" s="2">
        <v>2.4E-2</v>
      </c>
      <c r="H28">
        <f t="shared" si="0"/>
        <v>-0.27479999999999905</v>
      </c>
      <c r="I28">
        <v>20</v>
      </c>
      <c r="J28">
        <f t="shared" si="1"/>
        <v>-5.4959999999999809</v>
      </c>
      <c r="K28">
        <f t="shared" si="2"/>
        <v>0</v>
      </c>
    </row>
    <row r="29" spans="1:11" x14ac:dyDescent="0.25">
      <c r="A29" s="1">
        <v>45666</v>
      </c>
      <c r="B29" s="1">
        <v>45637</v>
      </c>
      <c r="C29" t="s">
        <v>12</v>
      </c>
      <c r="E29" t="s">
        <v>21</v>
      </c>
      <c r="F29" t="s">
        <v>33</v>
      </c>
      <c r="G29" s="2">
        <v>7.0000000000000001E-3</v>
      </c>
      <c r="H29">
        <f t="shared" si="0"/>
        <v>-7.4581499999999998</v>
      </c>
      <c r="I29">
        <v>20</v>
      </c>
      <c r="J29">
        <f t="shared" si="1"/>
        <v>-149.16300000000001</v>
      </c>
      <c r="K29">
        <f t="shared" si="2"/>
        <v>0</v>
      </c>
    </row>
    <row r="30" spans="1:11" x14ac:dyDescent="0.25">
      <c r="A30" s="1">
        <v>45666</v>
      </c>
      <c r="B30" s="1">
        <v>45637</v>
      </c>
      <c r="C30" t="s">
        <v>12</v>
      </c>
      <c r="E30" t="s">
        <v>22</v>
      </c>
      <c r="F30" t="s">
        <v>33</v>
      </c>
      <c r="G30" s="2">
        <v>5.2999999999999999E-2</v>
      </c>
      <c r="H30">
        <f t="shared" si="0"/>
        <v>11.979150000000001</v>
      </c>
      <c r="I30">
        <v>20</v>
      </c>
      <c r="J30">
        <f t="shared" si="1"/>
        <v>239.58300000000003</v>
      </c>
      <c r="K30">
        <f t="shared" si="2"/>
        <v>239.58300000000003</v>
      </c>
    </row>
    <row r="31" spans="1:11" x14ac:dyDescent="0.25">
      <c r="A31" s="1">
        <v>45666</v>
      </c>
      <c r="B31" s="1">
        <v>45637</v>
      </c>
      <c r="C31" t="s">
        <v>12</v>
      </c>
      <c r="E31" t="s">
        <v>23</v>
      </c>
      <c r="F31" t="s">
        <v>33</v>
      </c>
      <c r="G31" s="2">
        <v>2.5000000000000001E-2</v>
      </c>
      <c r="H31">
        <f t="shared" si="0"/>
        <v>0.14775000000000027</v>
      </c>
      <c r="I31">
        <v>20</v>
      </c>
      <c r="J31">
        <f t="shared" si="1"/>
        <v>2.9550000000000054</v>
      </c>
      <c r="K31">
        <f t="shared" si="2"/>
        <v>2.9550000000000054</v>
      </c>
    </row>
    <row r="32" spans="1:11" x14ac:dyDescent="0.25">
      <c r="A32" s="1">
        <v>45666</v>
      </c>
      <c r="B32" s="1">
        <v>45637</v>
      </c>
      <c r="C32" t="s">
        <v>12</v>
      </c>
      <c r="E32" t="s">
        <v>24</v>
      </c>
      <c r="F32" t="s">
        <v>33</v>
      </c>
      <c r="G32" s="2">
        <v>4.3999999999999997E-2</v>
      </c>
      <c r="H32">
        <f t="shared" si="0"/>
        <v>8.1761999999999979</v>
      </c>
      <c r="I32">
        <v>20</v>
      </c>
      <c r="J32">
        <f t="shared" si="1"/>
        <v>163.52399999999994</v>
      </c>
      <c r="K32">
        <f t="shared" si="2"/>
        <v>163.52399999999994</v>
      </c>
    </row>
    <row r="33" spans="1:11" x14ac:dyDescent="0.25">
      <c r="A33" s="1">
        <v>45666</v>
      </c>
      <c r="B33" s="1">
        <v>45637</v>
      </c>
      <c r="C33" t="s">
        <v>12</v>
      </c>
      <c r="E33" t="s">
        <v>25</v>
      </c>
      <c r="F33" t="s">
        <v>33</v>
      </c>
      <c r="G33" s="2">
        <v>2.1999999999999999E-2</v>
      </c>
      <c r="H33">
        <f t="shared" si="0"/>
        <v>-1.1199000000000012</v>
      </c>
      <c r="I33">
        <v>20</v>
      </c>
      <c r="J33">
        <f t="shared" si="1"/>
        <v>-22.398000000000025</v>
      </c>
      <c r="K33">
        <f t="shared" si="2"/>
        <v>0</v>
      </c>
    </row>
    <row r="34" spans="1:11" x14ac:dyDescent="0.25">
      <c r="A34" s="1">
        <v>45666</v>
      </c>
      <c r="B34" s="1">
        <v>45637</v>
      </c>
      <c r="C34" t="s">
        <v>12</v>
      </c>
      <c r="E34" t="s">
        <v>26</v>
      </c>
      <c r="F34" t="s">
        <v>33</v>
      </c>
      <c r="G34" s="2">
        <v>2.5999999999999999E-2</v>
      </c>
      <c r="H34">
        <f t="shared" si="0"/>
        <v>0.57029999999999959</v>
      </c>
      <c r="I34">
        <v>20</v>
      </c>
      <c r="J34">
        <f t="shared" ref="J34:J65" si="3">H34*I34</f>
        <v>11.405999999999992</v>
      </c>
      <c r="K34">
        <f t="shared" si="2"/>
        <v>11.405999999999992</v>
      </c>
    </row>
    <row r="35" spans="1:11" x14ac:dyDescent="0.25">
      <c r="A35" s="1">
        <v>45666</v>
      </c>
      <c r="B35" s="1">
        <v>45637</v>
      </c>
      <c r="C35" t="s">
        <v>12</v>
      </c>
      <c r="E35" t="s">
        <v>27</v>
      </c>
      <c r="F35" t="s">
        <v>33</v>
      </c>
      <c r="G35" s="2">
        <v>2.5999999999999999E-2</v>
      </c>
      <c r="H35">
        <f t="shared" si="0"/>
        <v>0.57029999999999959</v>
      </c>
      <c r="I35">
        <v>20</v>
      </c>
      <c r="J35">
        <f t="shared" si="3"/>
        <v>11.405999999999992</v>
      </c>
      <c r="K35">
        <f t="shared" si="2"/>
        <v>11.405999999999992</v>
      </c>
    </row>
    <row r="36" spans="1:11" x14ac:dyDescent="0.25">
      <c r="A36" s="1">
        <v>45666</v>
      </c>
      <c r="B36" s="1">
        <v>45637</v>
      </c>
      <c r="C36" t="s">
        <v>12</v>
      </c>
      <c r="E36" t="s">
        <v>28</v>
      </c>
      <c r="F36" t="s">
        <v>33</v>
      </c>
      <c r="G36" s="2">
        <v>6.8000000000000005E-2</v>
      </c>
      <c r="H36">
        <f t="shared" si="0"/>
        <v>18.317400000000003</v>
      </c>
      <c r="I36">
        <v>20</v>
      </c>
      <c r="J36">
        <f t="shared" si="3"/>
        <v>366.34800000000007</v>
      </c>
      <c r="K36">
        <f t="shared" si="2"/>
        <v>366.34800000000007</v>
      </c>
    </row>
    <row r="37" spans="1:11" x14ac:dyDescent="0.25">
      <c r="A37" s="1">
        <v>45666</v>
      </c>
      <c r="B37" s="1">
        <v>45637</v>
      </c>
      <c r="C37" t="s">
        <v>12</v>
      </c>
      <c r="E37" t="s">
        <v>29</v>
      </c>
      <c r="F37" t="s">
        <v>33</v>
      </c>
      <c r="G37" s="2">
        <v>3.2000000000000001E-2</v>
      </c>
      <c r="H37">
        <f t="shared" si="0"/>
        <v>3.1056000000000008</v>
      </c>
      <c r="I37">
        <v>20</v>
      </c>
      <c r="J37">
        <f t="shared" si="3"/>
        <v>62.112000000000016</v>
      </c>
      <c r="K37">
        <f t="shared" si="2"/>
        <v>62.112000000000016</v>
      </c>
    </row>
    <row r="38" spans="1:11" x14ac:dyDescent="0.25">
      <c r="A38" s="1">
        <v>45666</v>
      </c>
      <c r="B38" s="1">
        <v>45637</v>
      </c>
      <c r="C38" t="s">
        <v>30</v>
      </c>
      <c r="E38" t="s">
        <v>13</v>
      </c>
      <c r="F38" t="s">
        <v>33</v>
      </c>
      <c r="G38" s="2">
        <v>2.1999999999999999E-2</v>
      </c>
      <c r="H38">
        <f t="shared" si="0"/>
        <v>-1.1199000000000012</v>
      </c>
      <c r="I38">
        <v>20</v>
      </c>
      <c r="J38">
        <f t="shared" si="3"/>
        <v>-22.398000000000025</v>
      </c>
      <c r="K38">
        <f t="shared" si="2"/>
        <v>0</v>
      </c>
    </row>
    <row r="39" spans="1:11" x14ac:dyDescent="0.25">
      <c r="A39" s="1">
        <v>45666</v>
      </c>
      <c r="B39" s="1">
        <v>45637</v>
      </c>
      <c r="C39" t="s">
        <v>30</v>
      </c>
      <c r="E39" t="s">
        <v>14</v>
      </c>
      <c r="F39" t="s">
        <v>33</v>
      </c>
      <c r="G39" s="2">
        <v>2.5000000000000001E-2</v>
      </c>
      <c r="H39">
        <f t="shared" si="0"/>
        <v>0.14775000000000027</v>
      </c>
      <c r="I39">
        <v>20</v>
      </c>
      <c r="J39">
        <f t="shared" si="3"/>
        <v>2.9550000000000054</v>
      </c>
      <c r="K39">
        <f t="shared" si="2"/>
        <v>2.9550000000000054</v>
      </c>
    </row>
    <row r="40" spans="1:11" x14ac:dyDescent="0.25">
      <c r="A40" s="1">
        <v>45666</v>
      </c>
      <c r="B40" s="1">
        <v>45637</v>
      </c>
      <c r="C40" t="s">
        <v>30</v>
      </c>
      <c r="E40" t="s">
        <v>15</v>
      </c>
      <c r="F40" t="s">
        <v>33</v>
      </c>
      <c r="G40" s="2">
        <v>5.3999999999999999E-2</v>
      </c>
      <c r="H40">
        <f t="shared" si="0"/>
        <v>12.401700000000002</v>
      </c>
      <c r="I40">
        <v>20</v>
      </c>
      <c r="J40">
        <f t="shared" si="3"/>
        <v>248.03400000000005</v>
      </c>
      <c r="K40">
        <f t="shared" si="2"/>
        <v>248.03400000000005</v>
      </c>
    </row>
    <row r="41" spans="1:11" x14ac:dyDescent="0.25">
      <c r="A41" s="1">
        <v>45666</v>
      </c>
      <c r="B41" s="1">
        <v>45637</v>
      </c>
      <c r="C41" t="s">
        <v>30</v>
      </c>
      <c r="E41" t="s">
        <v>16</v>
      </c>
      <c r="F41" t="s">
        <v>33</v>
      </c>
      <c r="G41" s="2">
        <v>4.4999999999999998E-2</v>
      </c>
      <c r="H41">
        <f t="shared" si="0"/>
        <v>8.598749999999999</v>
      </c>
      <c r="I41">
        <v>20</v>
      </c>
      <c r="J41">
        <f t="shared" si="3"/>
        <v>171.97499999999997</v>
      </c>
      <c r="K41">
        <f t="shared" si="2"/>
        <v>171.97499999999997</v>
      </c>
    </row>
    <row r="42" spans="1:11" x14ac:dyDescent="0.25">
      <c r="A42" s="1">
        <v>45666</v>
      </c>
      <c r="B42" s="1">
        <v>45637</v>
      </c>
      <c r="C42" t="s">
        <v>30</v>
      </c>
      <c r="E42" t="s">
        <v>17</v>
      </c>
      <c r="F42" t="s">
        <v>33</v>
      </c>
      <c r="G42" s="2">
        <v>3.5000000000000003E-2</v>
      </c>
      <c r="H42">
        <f t="shared" si="0"/>
        <v>4.3732500000000023</v>
      </c>
      <c r="I42">
        <v>20</v>
      </c>
      <c r="J42">
        <f t="shared" si="3"/>
        <v>87.465000000000046</v>
      </c>
      <c r="K42">
        <f t="shared" si="2"/>
        <v>87.465000000000046</v>
      </c>
    </row>
    <row r="43" spans="1:11" x14ac:dyDescent="0.25">
      <c r="A43" s="1">
        <v>45666</v>
      </c>
      <c r="B43" s="1">
        <v>45637</v>
      </c>
      <c r="C43" t="s">
        <v>30</v>
      </c>
      <c r="E43" t="s">
        <v>12</v>
      </c>
      <c r="F43" t="s">
        <v>33</v>
      </c>
      <c r="G43" s="2">
        <v>4.2000000000000003E-2</v>
      </c>
      <c r="H43">
        <f t="shared" si="0"/>
        <v>7.3311000000000028</v>
      </c>
      <c r="I43">
        <v>20</v>
      </c>
      <c r="J43">
        <f t="shared" si="3"/>
        <v>146.62200000000007</v>
      </c>
      <c r="K43">
        <f t="shared" si="2"/>
        <v>146.62200000000007</v>
      </c>
    </row>
    <row r="44" spans="1:11" x14ac:dyDescent="0.25">
      <c r="A44" s="1">
        <v>45666</v>
      </c>
      <c r="B44" s="1">
        <v>45637</v>
      </c>
      <c r="C44" t="s">
        <v>30</v>
      </c>
      <c r="E44" t="s">
        <v>18</v>
      </c>
      <c r="F44" t="s">
        <v>33</v>
      </c>
      <c r="G44" s="2">
        <v>0.04</v>
      </c>
      <c r="H44">
        <f t="shared" si="0"/>
        <v>6.4860000000000007</v>
      </c>
      <c r="I44">
        <v>20</v>
      </c>
      <c r="J44">
        <f t="shared" si="3"/>
        <v>129.72000000000003</v>
      </c>
      <c r="K44">
        <f t="shared" si="2"/>
        <v>129.72000000000003</v>
      </c>
    </row>
    <row r="45" spans="1:11" x14ac:dyDescent="0.25">
      <c r="A45" s="1">
        <v>45666</v>
      </c>
      <c r="B45" s="1">
        <v>45637</v>
      </c>
      <c r="C45" t="s">
        <v>30</v>
      </c>
      <c r="E45" t="s">
        <v>19</v>
      </c>
      <c r="F45" t="s">
        <v>33</v>
      </c>
      <c r="G45" s="2">
        <v>0.03</v>
      </c>
      <c r="H45">
        <f t="shared" si="0"/>
        <v>2.2604999999999986</v>
      </c>
      <c r="I45">
        <v>20</v>
      </c>
      <c r="J45">
        <f t="shared" si="3"/>
        <v>45.209999999999972</v>
      </c>
      <c r="K45">
        <f t="shared" si="2"/>
        <v>45.209999999999972</v>
      </c>
    </row>
    <row r="46" spans="1:11" x14ac:dyDescent="0.25">
      <c r="A46" s="1">
        <v>45666</v>
      </c>
      <c r="B46" s="1">
        <v>45637</v>
      </c>
      <c r="C46" t="s">
        <v>30</v>
      </c>
      <c r="E46" t="s">
        <v>20</v>
      </c>
      <c r="F46" t="s">
        <v>33</v>
      </c>
      <c r="G46" s="2">
        <v>3.5000000000000003E-2</v>
      </c>
      <c r="H46">
        <f t="shared" si="0"/>
        <v>4.3732500000000023</v>
      </c>
      <c r="I46">
        <v>20</v>
      </c>
      <c r="J46">
        <f t="shared" si="3"/>
        <v>87.465000000000046</v>
      </c>
      <c r="K46">
        <f t="shared" si="2"/>
        <v>87.465000000000046</v>
      </c>
    </row>
    <row r="47" spans="1:11" x14ac:dyDescent="0.25">
      <c r="A47" s="1">
        <v>45666</v>
      </c>
      <c r="B47" s="1">
        <v>45637</v>
      </c>
      <c r="C47" t="s">
        <v>30</v>
      </c>
      <c r="E47" t="s">
        <v>21</v>
      </c>
      <c r="F47" t="s">
        <v>33</v>
      </c>
      <c r="G47" s="2">
        <v>3.7999999999999999E-2</v>
      </c>
      <c r="H47">
        <f t="shared" si="0"/>
        <v>5.6408999999999985</v>
      </c>
      <c r="I47">
        <v>20</v>
      </c>
      <c r="J47">
        <f t="shared" si="3"/>
        <v>112.81799999999997</v>
      </c>
      <c r="K47">
        <f t="shared" si="2"/>
        <v>112.81799999999997</v>
      </c>
    </row>
    <row r="48" spans="1:11" x14ac:dyDescent="0.25">
      <c r="A48" s="1">
        <v>45666</v>
      </c>
      <c r="B48" s="1">
        <v>45637</v>
      </c>
      <c r="C48" t="s">
        <v>30</v>
      </c>
      <c r="E48" t="s">
        <v>22</v>
      </c>
      <c r="F48" t="s">
        <v>33</v>
      </c>
      <c r="G48" s="2">
        <v>3.1E-2</v>
      </c>
      <c r="H48">
        <f t="shared" si="0"/>
        <v>2.6830499999999997</v>
      </c>
      <c r="I48">
        <v>20</v>
      </c>
      <c r="J48">
        <f t="shared" si="3"/>
        <v>53.660999999999994</v>
      </c>
      <c r="K48">
        <f t="shared" si="2"/>
        <v>53.660999999999994</v>
      </c>
    </row>
    <row r="49" spans="1:11" x14ac:dyDescent="0.25">
      <c r="A49" s="1">
        <v>45666</v>
      </c>
      <c r="B49" s="1">
        <v>45637</v>
      </c>
      <c r="C49" t="s">
        <v>30</v>
      </c>
      <c r="E49" t="s">
        <v>23</v>
      </c>
      <c r="F49" t="s">
        <v>33</v>
      </c>
      <c r="G49" s="2">
        <v>2.8000000000000001E-2</v>
      </c>
      <c r="H49">
        <f t="shared" si="0"/>
        <v>1.4154</v>
      </c>
      <c r="I49">
        <v>20</v>
      </c>
      <c r="J49">
        <f t="shared" si="3"/>
        <v>28.308</v>
      </c>
      <c r="K49">
        <f t="shared" si="2"/>
        <v>28.308</v>
      </c>
    </row>
    <row r="50" spans="1:11" x14ac:dyDescent="0.25">
      <c r="A50" s="1">
        <v>45666</v>
      </c>
      <c r="B50" s="1">
        <v>45637</v>
      </c>
      <c r="C50" t="s">
        <v>30</v>
      </c>
      <c r="E50" t="s">
        <v>24</v>
      </c>
      <c r="F50" t="s">
        <v>33</v>
      </c>
      <c r="G50" s="2">
        <v>0.03</v>
      </c>
      <c r="H50">
        <f t="shared" si="0"/>
        <v>2.2604999999999986</v>
      </c>
      <c r="I50">
        <v>20</v>
      </c>
      <c r="J50">
        <f t="shared" si="3"/>
        <v>45.209999999999972</v>
      </c>
      <c r="K50">
        <f t="shared" si="2"/>
        <v>45.209999999999972</v>
      </c>
    </row>
    <row r="51" spans="1:11" x14ac:dyDescent="0.25">
      <c r="A51" s="1">
        <v>45666</v>
      </c>
      <c r="B51" s="1">
        <v>45637</v>
      </c>
      <c r="C51" t="s">
        <v>30</v>
      </c>
      <c r="E51" t="s">
        <v>25</v>
      </c>
      <c r="F51" t="s">
        <v>33</v>
      </c>
      <c r="G51" s="2">
        <v>1.6E-2</v>
      </c>
      <c r="H51">
        <f t="shared" si="0"/>
        <v>-3.6551999999999998</v>
      </c>
      <c r="I51">
        <v>20</v>
      </c>
      <c r="J51">
        <f t="shared" si="3"/>
        <v>-73.103999999999999</v>
      </c>
      <c r="K51">
        <f t="shared" si="2"/>
        <v>0</v>
      </c>
    </row>
    <row r="52" spans="1:11" x14ac:dyDescent="0.25">
      <c r="A52" s="1">
        <v>45666</v>
      </c>
      <c r="B52" s="1">
        <v>45637</v>
      </c>
      <c r="C52" t="s">
        <v>30</v>
      </c>
      <c r="E52" t="s">
        <v>26</v>
      </c>
      <c r="F52" t="s">
        <v>33</v>
      </c>
      <c r="G52" s="2">
        <v>4.5999999999999999E-2</v>
      </c>
      <c r="H52">
        <f t="shared" si="0"/>
        <v>9.0213000000000001</v>
      </c>
      <c r="I52">
        <v>20</v>
      </c>
      <c r="J52">
        <f t="shared" si="3"/>
        <v>180.42599999999999</v>
      </c>
      <c r="K52">
        <f t="shared" si="2"/>
        <v>180.42599999999999</v>
      </c>
    </row>
    <row r="53" spans="1:11" x14ac:dyDescent="0.25">
      <c r="A53" s="1">
        <v>45666</v>
      </c>
      <c r="B53" s="1">
        <v>45637</v>
      </c>
      <c r="C53" t="s">
        <v>30</v>
      </c>
      <c r="E53" t="s">
        <v>27</v>
      </c>
      <c r="F53" t="s">
        <v>33</v>
      </c>
      <c r="G53" s="2">
        <v>2.3E-2</v>
      </c>
      <c r="H53">
        <f t="shared" si="0"/>
        <v>-0.69735000000000014</v>
      </c>
      <c r="I53">
        <v>20</v>
      </c>
      <c r="J53">
        <f t="shared" si="3"/>
        <v>-13.947000000000003</v>
      </c>
      <c r="K53">
        <f t="shared" si="2"/>
        <v>0</v>
      </c>
    </row>
    <row r="54" spans="1:11" x14ac:dyDescent="0.25">
      <c r="A54" s="1">
        <v>45666</v>
      </c>
      <c r="B54" s="1">
        <v>45637</v>
      </c>
      <c r="C54" t="s">
        <v>30</v>
      </c>
      <c r="E54" t="s">
        <v>28</v>
      </c>
      <c r="F54" t="s">
        <v>33</v>
      </c>
      <c r="G54" s="2">
        <v>3.5999999999999997E-2</v>
      </c>
      <c r="H54">
        <f t="shared" si="0"/>
        <v>4.7957999999999981</v>
      </c>
      <c r="I54">
        <v>20</v>
      </c>
      <c r="J54">
        <f t="shared" si="3"/>
        <v>95.915999999999968</v>
      </c>
      <c r="K54">
        <f t="shared" si="2"/>
        <v>95.915999999999968</v>
      </c>
    </row>
    <row r="55" spans="1:11" x14ac:dyDescent="0.25">
      <c r="A55" s="1">
        <v>45666</v>
      </c>
      <c r="B55" s="1">
        <v>45637</v>
      </c>
      <c r="C55" t="s">
        <v>30</v>
      </c>
      <c r="E55" t="s">
        <v>29</v>
      </c>
      <c r="F55" t="s">
        <v>33</v>
      </c>
      <c r="G55" s="2">
        <v>3.1E-2</v>
      </c>
      <c r="H55">
        <f>(422.55*G55)-10.416</f>
        <v>2.6830499999999997</v>
      </c>
      <c r="I55">
        <v>20</v>
      </c>
      <c r="J55">
        <f t="shared" si="3"/>
        <v>53.660999999999994</v>
      </c>
      <c r="K55">
        <f t="shared" si="2"/>
        <v>53.660999999999994</v>
      </c>
    </row>
    <row r="56" spans="1:11" x14ac:dyDescent="0.25">
      <c r="A56" s="1">
        <v>45739</v>
      </c>
      <c r="B56" s="1">
        <v>45729</v>
      </c>
      <c r="C56" t="s">
        <v>34</v>
      </c>
      <c r="D56" t="s">
        <v>36</v>
      </c>
      <c r="E56" t="s">
        <v>39</v>
      </c>
      <c r="F56" t="s">
        <v>47</v>
      </c>
      <c r="G56" s="2">
        <v>8.9999999999999993E-3</v>
      </c>
      <c r="H56">
        <f>(331.44*G56)+2.9603</f>
        <v>5.9432600000000004</v>
      </c>
      <c r="I56">
        <v>21</v>
      </c>
      <c r="J56">
        <f t="shared" si="3"/>
        <v>124.80846000000001</v>
      </c>
      <c r="K56">
        <f t="shared" si="2"/>
        <v>124.80846000000001</v>
      </c>
    </row>
    <row r="57" spans="1:11" x14ac:dyDescent="0.25">
      <c r="A57" s="1">
        <v>45739</v>
      </c>
      <c r="B57" s="1">
        <v>45729</v>
      </c>
      <c r="C57" t="s">
        <v>34</v>
      </c>
      <c r="D57" t="s">
        <v>37</v>
      </c>
      <c r="E57" t="s">
        <v>39</v>
      </c>
      <c r="F57" t="s">
        <v>47</v>
      </c>
      <c r="G57" s="2">
        <v>0</v>
      </c>
      <c r="H57">
        <f>(331.44*G57)+2.9603</f>
        <v>2.9603000000000002</v>
      </c>
      <c r="I57">
        <v>21</v>
      </c>
      <c r="J57">
        <f t="shared" si="3"/>
        <v>62.166300000000007</v>
      </c>
      <c r="K57">
        <f t="shared" si="2"/>
        <v>62.166300000000007</v>
      </c>
    </row>
    <row r="58" spans="1:11" x14ac:dyDescent="0.25">
      <c r="A58" s="1">
        <v>45739</v>
      </c>
      <c r="B58" s="1">
        <v>45729</v>
      </c>
      <c r="C58" t="s">
        <v>34</v>
      </c>
      <c r="D58" t="s">
        <v>36</v>
      </c>
      <c r="E58" t="s">
        <v>40</v>
      </c>
      <c r="F58" t="s">
        <v>47</v>
      </c>
      <c r="G58" s="2">
        <v>0.01</v>
      </c>
      <c r="H58">
        <f t="shared" ref="H58:H65" si="4">(331.44*G58)+2.9603</f>
        <v>6.2747000000000002</v>
      </c>
      <c r="I58">
        <v>21</v>
      </c>
      <c r="J58">
        <f t="shared" si="3"/>
        <v>131.7687</v>
      </c>
      <c r="K58">
        <f t="shared" si="2"/>
        <v>131.7687</v>
      </c>
    </row>
    <row r="59" spans="1:11" x14ac:dyDescent="0.25">
      <c r="A59" s="1">
        <v>45739</v>
      </c>
      <c r="B59" s="1">
        <v>45729</v>
      </c>
      <c r="C59" t="s">
        <v>34</v>
      </c>
      <c r="D59" t="s">
        <v>37</v>
      </c>
      <c r="E59" t="s">
        <v>40</v>
      </c>
      <c r="F59" t="s">
        <v>47</v>
      </c>
      <c r="G59" s="2">
        <v>4.0000000000000001E-3</v>
      </c>
      <c r="H59">
        <f t="shared" si="4"/>
        <v>4.28606</v>
      </c>
      <c r="I59">
        <v>21</v>
      </c>
      <c r="J59">
        <f t="shared" si="3"/>
        <v>90.007260000000002</v>
      </c>
      <c r="K59">
        <f t="shared" si="2"/>
        <v>90.007260000000002</v>
      </c>
    </row>
    <row r="60" spans="1:11" x14ac:dyDescent="0.25">
      <c r="A60" s="1">
        <v>45739</v>
      </c>
      <c r="B60" s="1">
        <v>45729</v>
      </c>
      <c r="C60" t="s">
        <v>34</v>
      </c>
      <c r="D60" t="s">
        <v>36</v>
      </c>
      <c r="E60" t="s">
        <v>41</v>
      </c>
      <c r="F60" t="s">
        <v>47</v>
      </c>
      <c r="G60" s="2">
        <v>8.0000000000000002E-3</v>
      </c>
      <c r="H60">
        <f t="shared" si="4"/>
        <v>5.6118199999999998</v>
      </c>
      <c r="I60">
        <v>21</v>
      </c>
      <c r="J60">
        <f t="shared" si="3"/>
        <v>117.84822</v>
      </c>
      <c r="K60">
        <f t="shared" si="2"/>
        <v>117.84822</v>
      </c>
    </row>
    <row r="61" spans="1:11" x14ac:dyDescent="0.25">
      <c r="A61" s="1">
        <v>45739</v>
      </c>
      <c r="B61" s="1">
        <v>45729</v>
      </c>
      <c r="C61" t="s">
        <v>34</v>
      </c>
      <c r="D61" t="s">
        <v>37</v>
      </c>
      <c r="E61" t="s">
        <v>41</v>
      </c>
      <c r="F61" t="s">
        <v>47</v>
      </c>
      <c r="G61" s="2">
        <v>1.2E-2</v>
      </c>
      <c r="H61">
        <f t="shared" si="4"/>
        <v>6.9375800000000005</v>
      </c>
      <c r="I61">
        <v>21</v>
      </c>
      <c r="J61">
        <f t="shared" si="3"/>
        <v>145.68918000000002</v>
      </c>
      <c r="K61">
        <f t="shared" si="2"/>
        <v>145.68918000000002</v>
      </c>
    </row>
    <row r="62" spans="1:11" x14ac:dyDescent="0.25">
      <c r="A62" s="1">
        <v>45739</v>
      </c>
      <c r="B62" s="1">
        <v>45729</v>
      </c>
      <c r="C62" t="s">
        <v>34</v>
      </c>
      <c r="D62" t="s">
        <v>36</v>
      </c>
      <c r="E62" t="s">
        <v>42</v>
      </c>
      <c r="F62" t="s">
        <v>47</v>
      </c>
      <c r="G62" s="2">
        <v>1E-3</v>
      </c>
      <c r="H62">
        <f t="shared" si="4"/>
        <v>3.2917400000000003</v>
      </c>
      <c r="I62">
        <v>21</v>
      </c>
      <c r="J62">
        <f t="shared" si="3"/>
        <v>69.126540000000006</v>
      </c>
      <c r="K62">
        <f t="shared" si="2"/>
        <v>69.126540000000006</v>
      </c>
    </row>
    <row r="63" spans="1:11" x14ac:dyDescent="0.25">
      <c r="A63" s="1">
        <v>45739</v>
      </c>
      <c r="B63" s="1">
        <v>45729</v>
      </c>
      <c r="C63" t="s">
        <v>34</v>
      </c>
      <c r="D63" t="s">
        <v>37</v>
      </c>
      <c r="E63" t="s">
        <v>42</v>
      </c>
      <c r="F63" t="s">
        <v>47</v>
      </c>
      <c r="G63" s="2">
        <v>0</v>
      </c>
      <c r="H63">
        <f t="shared" si="4"/>
        <v>2.9603000000000002</v>
      </c>
      <c r="I63">
        <v>21</v>
      </c>
      <c r="J63">
        <f t="shared" si="3"/>
        <v>62.166300000000007</v>
      </c>
      <c r="K63">
        <f t="shared" si="2"/>
        <v>62.166300000000007</v>
      </c>
    </row>
    <row r="64" spans="1:11" x14ac:dyDescent="0.25">
      <c r="A64" s="1">
        <v>45739</v>
      </c>
      <c r="B64" s="1">
        <v>45729</v>
      </c>
      <c r="C64" t="s">
        <v>34</v>
      </c>
      <c r="D64" t="s">
        <v>36</v>
      </c>
      <c r="E64" t="s">
        <v>43</v>
      </c>
      <c r="F64" t="s">
        <v>47</v>
      </c>
      <c r="G64" s="2">
        <v>0.14199999999999999</v>
      </c>
      <c r="H64">
        <f t="shared" si="4"/>
        <v>50.024779999999993</v>
      </c>
      <c r="I64">
        <v>21</v>
      </c>
      <c r="J64">
        <f t="shared" si="3"/>
        <v>1050.5203799999999</v>
      </c>
      <c r="K64">
        <f t="shared" si="2"/>
        <v>1050.5203799999999</v>
      </c>
    </row>
    <row r="65" spans="1:11" x14ac:dyDescent="0.25">
      <c r="A65" s="1">
        <v>45739</v>
      </c>
      <c r="B65" s="1">
        <v>45729</v>
      </c>
      <c r="C65" t="s">
        <v>34</v>
      </c>
      <c r="D65" t="s">
        <v>37</v>
      </c>
      <c r="E65" t="s">
        <v>43</v>
      </c>
      <c r="F65" t="s">
        <v>47</v>
      </c>
      <c r="G65" s="2">
        <v>0.16800000000000001</v>
      </c>
      <c r="H65">
        <f t="shared" si="4"/>
        <v>58.642220000000009</v>
      </c>
      <c r="I65">
        <v>21</v>
      </c>
      <c r="J65">
        <f t="shared" si="3"/>
        <v>1231.4866200000001</v>
      </c>
      <c r="K65">
        <f t="shared" si="2"/>
        <v>1231.4866200000001</v>
      </c>
    </row>
    <row r="66" spans="1:11" x14ac:dyDescent="0.25">
      <c r="A66" s="1">
        <v>45739</v>
      </c>
      <c r="B66" s="1">
        <v>45729</v>
      </c>
      <c r="C66" t="s">
        <v>34</v>
      </c>
      <c r="D66" t="s">
        <v>36</v>
      </c>
      <c r="E66" t="s">
        <v>44</v>
      </c>
      <c r="F66" t="s">
        <v>47</v>
      </c>
      <c r="G66" s="2">
        <v>6.0000000000000001E-3</v>
      </c>
      <c r="H66">
        <f>(331.44*G66)+2.9603</f>
        <v>4.9489400000000003</v>
      </c>
      <c r="I66">
        <v>21</v>
      </c>
      <c r="J66">
        <f t="shared" ref="J66:J97" si="5">H66*I66</f>
        <v>103.92774</v>
      </c>
      <c r="K66">
        <f t="shared" si="2"/>
        <v>103.92774</v>
      </c>
    </row>
    <row r="67" spans="1:11" x14ac:dyDescent="0.25">
      <c r="A67" s="1">
        <v>45739</v>
      </c>
      <c r="B67" s="1">
        <v>45729</v>
      </c>
      <c r="C67" t="s">
        <v>34</v>
      </c>
      <c r="D67" t="s">
        <v>37</v>
      </c>
      <c r="E67" t="s">
        <v>44</v>
      </c>
      <c r="F67" t="s">
        <v>47</v>
      </c>
      <c r="G67" s="2">
        <v>0</v>
      </c>
      <c r="H67">
        <f>(331.44*G67)+2.9603</f>
        <v>2.9603000000000002</v>
      </c>
      <c r="I67">
        <v>21</v>
      </c>
      <c r="J67">
        <f t="shared" si="5"/>
        <v>62.166300000000007</v>
      </c>
      <c r="K67">
        <f t="shared" ref="K67:K130" si="6">MAX(J67,0)</f>
        <v>62.166300000000007</v>
      </c>
    </row>
    <row r="68" spans="1:11" x14ac:dyDescent="0.25">
      <c r="A68" s="1">
        <v>45739</v>
      </c>
      <c r="B68" s="1">
        <v>45730</v>
      </c>
      <c r="C68" t="s">
        <v>45</v>
      </c>
      <c r="D68" t="s">
        <v>36</v>
      </c>
      <c r="E68" t="s">
        <v>39</v>
      </c>
      <c r="F68" t="s">
        <v>47</v>
      </c>
      <c r="G68" s="2">
        <v>0.03</v>
      </c>
      <c r="H68">
        <f>(331.44*G68)+2.9603</f>
        <v>12.903499999999999</v>
      </c>
      <c r="I68">
        <v>21</v>
      </c>
      <c r="J68">
        <f t="shared" si="5"/>
        <v>270.9735</v>
      </c>
      <c r="K68">
        <f t="shared" si="6"/>
        <v>270.9735</v>
      </c>
    </row>
    <row r="69" spans="1:11" x14ac:dyDescent="0.25">
      <c r="A69" s="1">
        <v>45739</v>
      </c>
      <c r="B69" s="1">
        <v>45730</v>
      </c>
      <c r="C69" t="s">
        <v>45</v>
      </c>
      <c r="D69" t="s">
        <v>37</v>
      </c>
      <c r="E69" t="s">
        <v>39</v>
      </c>
      <c r="F69" t="s">
        <v>47</v>
      </c>
      <c r="G69" s="2">
        <v>8.0000000000000002E-3</v>
      </c>
      <c r="H69">
        <f>(331.44*G69)+2.9603</f>
        <v>5.6118199999999998</v>
      </c>
      <c r="I69">
        <v>21</v>
      </c>
      <c r="J69">
        <f t="shared" si="5"/>
        <v>117.84822</v>
      </c>
      <c r="K69">
        <f t="shared" si="6"/>
        <v>117.84822</v>
      </c>
    </row>
    <row r="70" spans="1:11" x14ac:dyDescent="0.25">
      <c r="A70" s="1">
        <v>45739</v>
      </c>
      <c r="B70" s="1">
        <v>45730</v>
      </c>
      <c r="C70" t="s">
        <v>45</v>
      </c>
      <c r="D70" t="s">
        <v>35</v>
      </c>
      <c r="E70" t="s">
        <v>39</v>
      </c>
      <c r="F70" t="s">
        <v>47</v>
      </c>
      <c r="G70" s="3"/>
      <c r="H70" s="3"/>
      <c r="I70">
        <v>41</v>
      </c>
      <c r="J70">
        <f t="shared" si="5"/>
        <v>0</v>
      </c>
      <c r="K70">
        <f t="shared" si="6"/>
        <v>0</v>
      </c>
    </row>
    <row r="71" spans="1:11" x14ac:dyDescent="0.25">
      <c r="A71" s="1">
        <v>45739</v>
      </c>
      <c r="B71" s="1">
        <v>45730</v>
      </c>
      <c r="C71" t="s">
        <v>45</v>
      </c>
      <c r="D71" t="s">
        <v>38</v>
      </c>
      <c r="E71" t="s">
        <v>39</v>
      </c>
      <c r="F71" t="s">
        <v>47</v>
      </c>
      <c r="G71" s="3"/>
      <c r="H71" s="3"/>
      <c r="I71">
        <v>41</v>
      </c>
      <c r="J71">
        <f t="shared" si="5"/>
        <v>0</v>
      </c>
      <c r="K71">
        <f t="shared" si="6"/>
        <v>0</v>
      </c>
    </row>
    <row r="72" spans="1:11" x14ac:dyDescent="0.25">
      <c r="A72" s="1">
        <v>45739</v>
      </c>
      <c r="B72" s="1">
        <v>45730</v>
      </c>
      <c r="C72" t="s">
        <v>45</v>
      </c>
      <c r="D72" t="s">
        <v>36</v>
      </c>
      <c r="E72" t="s">
        <v>40</v>
      </c>
      <c r="F72" t="s">
        <v>47</v>
      </c>
      <c r="G72" s="2">
        <v>0</v>
      </c>
      <c r="H72">
        <f>(331.44*G72)+2.9603</f>
        <v>2.9603000000000002</v>
      </c>
      <c r="I72">
        <v>21</v>
      </c>
      <c r="J72">
        <f t="shared" si="5"/>
        <v>62.166300000000007</v>
      </c>
      <c r="K72">
        <f t="shared" si="6"/>
        <v>62.166300000000007</v>
      </c>
    </row>
    <row r="73" spans="1:11" x14ac:dyDescent="0.25">
      <c r="A73" s="1">
        <v>45739</v>
      </c>
      <c r="B73" s="1">
        <v>45730</v>
      </c>
      <c r="C73" t="s">
        <v>45</v>
      </c>
      <c r="D73" t="s">
        <v>37</v>
      </c>
      <c r="E73" t="s">
        <v>40</v>
      </c>
      <c r="F73" t="s">
        <v>47</v>
      </c>
      <c r="G73" s="2">
        <v>5.0000000000000001E-3</v>
      </c>
      <c r="H73">
        <f>(331.44*G73)+2.9603</f>
        <v>4.6174999999999997</v>
      </c>
      <c r="I73">
        <v>21</v>
      </c>
      <c r="J73">
        <f t="shared" si="5"/>
        <v>96.967500000000001</v>
      </c>
      <c r="K73">
        <f t="shared" si="6"/>
        <v>96.967500000000001</v>
      </c>
    </row>
    <row r="74" spans="1:11" x14ac:dyDescent="0.25">
      <c r="A74" s="1">
        <v>45739</v>
      </c>
      <c r="B74" s="1">
        <v>45730</v>
      </c>
      <c r="C74" t="s">
        <v>45</v>
      </c>
      <c r="D74" t="s">
        <v>35</v>
      </c>
      <c r="E74" t="s">
        <v>40</v>
      </c>
      <c r="F74" t="s">
        <v>47</v>
      </c>
      <c r="G74" s="2">
        <v>0</v>
      </c>
      <c r="H74">
        <f t="shared" ref="H74:H99" si="7">(331.44*G74)+2.9603</f>
        <v>2.9603000000000002</v>
      </c>
      <c r="I74">
        <v>41</v>
      </c>
      <c r="J74">
        <f t="shared" si="5"/>
        <v>121.37230000000001</v>
      </c>
      <c r="K74">
        <f t="shared" si="6"/>
        <v>121.37230000000001</v>
      </c>
    </row>
    <row r="75" spans="1:11" x14ac:dyDescent="0.25">
      <c r="A75" s="1">
        <v>45739</v>
      </c>
      <c r="B75" s="1">
        <v>45730</v>
      </c>
      <c r="C75" t="s">
        <v>45</v>
      </c>
      <c r="D75" t="s">
        <v>38</v>
      </c>
      <c r="E75" t="s">
        <v>40</v>
      </c>
      <c r="F75" t="s">
        <v>47</v>
      </c>
      <c r="G75" s="2">
        <v>0</v>
      </c>
      <c r="H75">
        <f t="shared" si="7"/>
        <v>2.9603000000000002</v>
      </c>
      <c r="I75">
        <v>41</v>
      </c>
      <c r="J75">
        <f t="shared" si="5"/>
        <v>121.37230000000001</v>
      </c>
      <c r="K75">
        <f t="shared" si="6"/>
        <v>121.37230000000001</v>
      </c>
    </row>
    <row r="76" spans="1:11" x14ac:dyDescent="0.25">
      <c r="A76" s="1">
        <v>45739</v>
      </c>
      <c r="B76" s="1">
        <v>45730</v>
      </c>
      <c r="C76" t="s">
        <v>45</v>
      </c>
      <c r="D76" t="s">
        <v>36</v>
      </c>
      <c r="E76" s="1" t="s">
        <v>41</v>
      </c>
      <c r="F76" t="s">
        <v>47</v>
      </c>
      <c r="G76" s="2">
        <v>0</v>
      </c>
      <c r="H76">
        <f t="shared" si="7"/>
        <v>2.9603000000000002</v>
      </c>
      <c r="I76">
        <v>21</v>
      </c>
      <c r="J76">
        <f t="shared" si="5"/>
        <v>62.166300000000007</v>
      </c>
      <c r="K76">
        <f t="shared" si="6"/>
        <v>62.166300000000007</v>
      </c>
    </row>
    <row r="77" spans="1:11" x14ac:dyDescent="0.25">
      <c r="A77" s="1">
        <v>45739</v>
      </c>
      <c r="B77" s="1">
        <v>45730</v>
      </c>
      <c r="C77" t="s">
        <v>45</v>
      </c>
      <c r="D77" t="s">
        <v>37</v>
      </c>
      <c r="E77" s="1" t="s">
        <v>41</v>
      </c>
      <c r="F77" t="s">
        <v>47</v>
      </c>
      <c r="G77" s="2">
        <v>0.188</v>
      </c>
      <c r="H77">
        <f t="shared" si="7"/>
        <v>65.271019999999993</v>
      </c>
      <c r="I77">
        <v>21</v>
      </c>
      <c r="J77">
        <f t="shared" si="5"/>
        <v>1370.6914199999999</v>
      </c>
      <c r="K77">
        <f t="shared" si="6"/>
        <v>1370.6914199999999</v>
      </c>
    </row>
    <row r="78" spans="1:11" x14ac:dyDescent="0.25">
      <c r="A78" s="1">
        <v>45739</v>
      </c>
      <c r="B78" s="1">
        <v>45730</v>
      </c>
      <c r="C78" t="s">
        <v>45</v>
      </c>
      <c r="D78" t="s">
        <v>35</v>
      </c>
      <c r="E78" s="1" t="s">
        <v>41</v>
      </c>
      <c r="F78" t="s">
        <v>47</v>
      </c>
      <c r="G78" s="2">
        <v>3.0000000000000001E-3</v>
      </c>
      <c r="H78">
        <f t="shared" si="7"/>
        <v>3.9546200000000002</v>
      </c>
      <c r="I78">
        <v>41</v>
      </c>
      <c r="J78">
        <f t="shared" si="5"/>
        <v>162.13942</v>
      </c>
      <c r="K78">
        <f t="shared" si="6"/>
        <v>162.13942</v>
      </c>
    </row>
    <row r="79" spans="1:11" x14ac:dyDescent="0.25">
      <c r="A79" s="1">
        <v>45739</v>
      </c>
      <c r="B79" s="1">
        <v>45730</v>
      </c>
      <c r="C79" t="s">
        <v>45</v>
      </c>
      <c r="D79" t="s">
        <v>38</v>
      </c>
      <c r="E79" s="1" t="s">
        <v>41</v>
      </c>
      <c r="F79" t="s">
        <v>47</v>
      </c>
      <c r="G79" s="2">
        <v>0</v>
      </c>
      <c r="H79">
        <f t="shared" si="7"/>
        <v>2.9603000000000002</v>
      </c>
      <c r="I79">
        <v>41</v>
      </c>
      <c r="J79">
        <f t="shared" si="5"/>
        <v>121.37230000000001</v>
      </c>
      <c r="K79">
        <f t="shared" si="6"/>
        <v>121.37230000000001</v>
      </c>
    </row>
    <row r="80" spans="1:11" x14ac:dyDescent="0.25">
      <c r="A80" s="1">
        <v>45739</v>
      </c>
      <c r="B80" s="1">
        <v>45730</v>
      </c>
      <c r="C80" t="s">
        <v>45</v>
      </c>
      <c r="D80" t="s">
        <v>36</v>
      </c>
      <c r="E80" s="1" t="s">
        <v>42</v>
      </c>
      <c r="F80" t="s">
        <v>47</v>
      </c>
      <c r="G80" s="2">
        <v>0.223</v>
      </c>
      <c r="H80">
        <f t="shared" si="7"/>
        <v>76.871420000000001</v>
      </c>
      <c r="I80">
        <v>21</v>
      </c>
      <c r="J80">
        <f t="shared" si="5"/>
        <v>1614.29982</v>
      </c>
      <c r="K80">
        <f t="shared" si="6"/>
        <v>1614.29982</v>
      </c>
    </row>
    <row r="81" spans="1:11" x14ac:dyDescent="0.25">
      <c r="A81" s="1">
        <v>45739</v>
      </c>
      <c r="B81" s="1">
        <v>45730</v>
      </c>
      <c r="C81" t="s">
        <v>45</v>
      </c>
      <c r="D81" t="s">
        <v>37</v>
      </c>
      <c r="E81" s="1" t="s">
        <v>42</v>
      </c>
      <c r="F81" t="s">
        <v>47</v>
      </c>
      <c r="G81" s="2">
        <v>1E-3</v>
      </c>
      <c r="H81">
        <f t="shared" si="7"/>
        <v>3.2917400000000003</v>
      </c>
      <c r="I81">
        <v>21</v>
      </c>
      <c r="J81">
        <f t="shared" si="5"/>
        <v>69.126540000000006</v>
      </c>
      <c r="K81">
        <f t="shared" si="6"/>
        <v>69.126540000000006</v>
      </c>
    </row>
    <row r="82" spans="1:11" x14ac:dyDescent="0.25">
      <c r="A82" s="1">
        <v>45739</v>
      </c>
      <c r="B82" s="1">
        <v>45730</v>
      </c>
      <c r="C82" t="s">
        <v>45</v>
      </c>
      <c r="D82" t="s">
        <v>35</v>
      </c>
      <c r="E82" s="1" t="s">
        <v>42</v>
      </c>
      <c r="F82" t="s">
        <v>47</v>
      </c>
      <c r="G82" s="2">
        <v>3.0000000000000001E-3</v>
      </c>
      <c r="H82">
        <f t="shared" si="7"/>
        <v>3.9546200000000002</v>
      </c>
      <c r="I82">
        <v>41</v>
      </c>
      <c r="J82">
        <f t="shared" si="5"/>
        <v>162.13942</v>
      </c>
      <c r="K82">
        <f t="shared" si="6"/>
        <v>162.13942</v>
      </c>
    </row>
    <row r="83" spans="1:11" x14ac:dyDescent="0.25">
      <c r="A83" s="1">
        <v>45739</v>
      </c>
      <c r="B83" s="1">
        <v>45730</v>
      </c>
      <c r="C83" t="s">
        <v>45</v>
      </c>
      <c r="D83" t="s">
        <v>38</v>
      </c>
      <c r="E83" s="1" t="s">
        <v>42</v>
      </c>
      <c r="F83" t="s">
        <v>47</v>
      </c>
      <c r="G83" s="2">
        <v>2.7E-2</v>
      </c>
      <c r="H83">
        <f t="shared" si="7"/>
        <v>11.909179999999999</v>
      </c>
      <c r="I83">
        <v>41</v>
      </c>
      <c r="J83">
        <f t="shared" si="5"/>
        <v>488.27637999999996</v>
      </c>
      <c r="K83">
        <f t="shared" si="6"/>
        <v>488.27637999999996</v>
      </c>
    </row>
    <row r="84" spans="1:11" x14ac:dyDescent="0.25">
      <c r="A84" s="1">
        <v>45739</v>
      </c>
      <c r="B84" s="1">
        <v>45730</v>
      </c>
      <c r="C84" t="s">
        <v>45</v>
      </c>
      <c r="D84" t="s">
        <v>36</v>
      </c>
      <c r="E84" s="1" t="s">
        <v>43</v>
      </c>
      <c r="F84" t="s">
        <v>47</v>
      </c>
      <c r="G84" s="2">
        <v>0</v>
      </c>
      <c r="H84">
        <f t="shared" si="7"/>
        <v>2.9603000000000002</v>
      </c>
      <c r="I84">
        <v>21</v>
      </c>
      <c r="J84">
        <f t="shared" si="5"/>
        <v>62.166300000000007</v>
      </c>
      <c r="K84">
        <f t="shared" si="6"/>
        <v>62.166300000000007</v>
      </c>
    </row>
    <row r="85" spans="1:11" x14ac:dyDescent="0.25">
      <c r="A85" s="1">
        <v>45739</v>
      </c>
      <c r="B85" s="1">
        <v>45730</v>
      </c>
      <c r="C85" t="s">
        <v>45</v>
      </c>
      <c r="D85" t="s">
        <v>37</v>
      </c>
      <c r="E85" s="1" t="s">
        <v>43</v>
      </c>
      <c r="F85" t="s">
        <v>47</v>
      </c>
      <c r="G85" s="2">
        <v>1E-3</v>
      </c>
      <c r="H85">
        <f t="shared" si="7"/>
        <v>3.2917400000000003</v>
      </c>
      <c r="I85">
        <v>21</v>
      </c>
      <c r="J85">
        <f t="shared" si="5"/>
        <v>69.126540000000006</v>
      </c>
      <c r="K85">
        <f t="shared" si="6"/>
        <v>69.126540000000006</v>
      </c>
    </row>
    <row r="86" spans="1:11" x14ac:dyDescent="0.25">
      <c r="A86" s="1">
        <v>45739</v>
      </c>
      <c r="B86" s="1">
        <v>45730</v>
      </c>
      <c r="C86" t="s">
        <v>45</v>
      </c>
      <c r="D86" t="s">
        <v>35</v>
      </c>
      <c r="E86" s="1" t="s">
        <v>43</v>
      </c>
      <c r="F86" t="s">
        <v>47</v>
      </c>
      <c r="G86" s="2">
        <v>0</v>
      </c>
      <c r="H86">
        <f t="shared" si="7"/>
        <v>2.9603000000000002</v>
      </c>
      <c r="I86">
        <v>41</v>
      </c>
      <c r="J86">
        <f t="shared" si="5"/>
        <v>121.37230000000001</v>
      </c>
      <c r="K86">
        <f t="shared" si="6"/>
        <v>121.37230000000001</v>
      </c>
    </row>
    <row r="87" spans="1:11" x14ac:dyDescent="0.25">
      <c r="A87" s="1">
        <v>45739</v>
      </c>
      <c r="B87" s="1">
        <v>45730</v>
      </c>
      <c r="C87" t="s">
        <v>45</v>
      </c>
      <c r="D87" t="s">
        <v>38</v>
      </c>
      <c r="E87" s="1" t="s">
        <v>43</v>
      </c>
      <c r="F87" t="s">
        <v>47</v>
      </c>
      <c r="G87" s="2">
        <v>6.0000000000000001E-3</v>
      </c>
      <c r="H87">
        <f t="shared" si="7"/>
        <v>4.9489400000000003</v>
      </c>
      <c r="I87">
        <v>41</v>
      </c>
      <c r="J87">
        <f t="shared" si="5"/>
        <v>202.90654000000001</v>
      </c>
      <c r="K87">
        <f t="shared" si="6"/>
        <v>202.90654000000001</v>
      </c>
    </row>
    <row r="88" spans="1:11" x14ac:dyDescent="0.25">
      <c r="A88" s="1">
        <v>45739</v>
      </c>
      <c r="B88" s="1">
        <v>45730</v>
      </c>
      <c r="C88" t="s">
        <v>45</v>
      </c>
      <c r="D88" t="s">
        <v>36</v>
      </c>
      <c r="E88" s="1" t="s">
        <v>44</v>
      </c>
      <c r="F88" t="s">
        <v>47</v>
      </c>
      <c r="G88" s="2">
        <v>2.7E-2</v>
      </c>
      <c r="H88">
        <f t="shared" si="7"/>
        <v>11.909179999999999</v>
      </c>
      <c r="I88">
        <v>21</v>
      </c>
      <c r="J88">
        <f t="shared" si="5"/>
        <v>250.09277999999998</v>
      </c>
      <c r="K88">
        <f t="shared" si="6"/>
        <v>250.09277999999998</v>
      </c>
    </row>
    <row r="89" spans="1:11" x14ac:dyDescent="0.25">
      <c r="A89" s="1">
        <v>45739</v>
      </c>
      <c r="B89" s="1">
        <v>45730</v>
      </c>
      <c r="C89" t="s">
        <v>45</v>
      </c>
      <c r="D89" t="s">
        <v>37</v>
      </c>
      <c r="E89" s="1" t="s">
        <v>44</v>
      </c>
      <c r="F89" t="s">
        <v>47</v>
      </c>
      <c r="G89" s="2">
        <v>0</v>
      </c>
      <c r="H89">
        <f t="shared" si="7"/>
        <v>2.9603000000000002</v>
      </c>
      <c r="I89">
        <v>21</v>
      </c>
      <c r="J89">
        <f t="shared" si="5"/>
        <v>62.166300000000007</v>
      </c>
      <c r="K89">
        <f t="shared" si="6"/>
        <v>62.166300000000007</v>
      </c>
    </row>
    <row r="90" spans="1:11" x14ac:dyDescent="0.25">
      <c r="A90" s="1">
        <v>45739</v>
      </c>
      <c r="B90" s="1">
        <v>45730</v>
      </c>
      <c r="C90" t="s">
        <v>45</v>
      </c>
      <c r="D90" t="s">
        <v>35</v>
      </c>
      <c r="E90" s="1" t="s">
        <v>44</v>
      </c>
      <c r="F90" t="s">
        <v>47</v>
      </c>
      <c r="G90" s="2">
        <v>0.03</v>
      </c>
      <c r="H90">
        <f t="shared" si="7"/>
        <v>12.903499999999999</v>
      </c>
      <c r="I90">
        <v>41</v>
      </c>
      <c r="J90">
        <f t="shared" si="5"/>
        <v>529.04349999999999</v>
      </c>
      <c r="K90">
        <f t="shared" si="6"/>
        <v>529.04349999999999</v>
      </c>
    </row>
    <row r="91" spans="1:11" x14ac:dyDescent="0.25">
      <c r="A91" s="1">
        <v>45739</v>
      </c>
      <c r="B91" s="1">
        <v>45730</v>
      </c>
      <c r="C91" t="s">
        <v>45</v>
      </c>
      <c r="D91" t="s">
        <v>38</v>
      </c>
      <c r="E91" s="1" t="s">
        <v>44</v>
      </c>
      <c r="F91" t="s">
        <v>47</v>
      </c>
      <c r="G91" s="2">
        <v>0</v>
      </c>
      <c r="H91">
        <f t="shared" si="7"/>
        <v>2.9603000000000002</v>
      </c>
      <c r="I91">
        <v>41</v>
      </c>
      <c r="J91">
        <f t="shared" si="5"/>
        <v>121.37230000000001</v>
      </c>
      <c r="K91">
        <f t="shared" si="6"/>
        <v>121.37230000000001</v>
      </c>
    </row>
    <row r="92" spans="1:11" x14ac:dyDescent="0.25">
      <c r="A92" s="1">
        <v>45739</v>
      </c>
      <c r="B92" s="1">
        <v>45731</v>
      </c>
      <c r="C92" s="1" t="s">
        <v>12</v>
      </c>
      <c r="D92" t="s">
        <v>36</v>
      </c>
      <c r="E92" t="s">
        <v>39</v>
      </c>
      <c r="F92" t="s">
        <v>47</v>
      </c>
      <c r="G92" s="2">
        <v>0.05</v>
      </c>
      <c r="H92">
        <f t="shared" si="7"/>
        <v>19.532299999999999</v>
      </c>
      <c r="I92">
        <v>21</v>
      </c>
      <c r="J92">
        <f t="shared" si="5"/>
        <v>410.17829999999998</v>
      </c>
      <c r="K92">
        <f t="shared" si="6"/>
        <v>410.17829999999998</v>
      </c>
    </row>
    <row r="93" spans="1:11" x14ac:dyDescent="0.25">
      <c r="A93" s="1">
        <v>45739</v>
      </c>
      <c r="B93" s="1">
        <v>45731</v>
      </c>
      <c r="C93" s="1" t="s">
        <v>12</v>
      </c>
      <c r="D93" t="s">
        <v>37</v>
      </c>
      <c r="E93" t="s">
        <v>39</v>
      </c>
      <c r="F93" t="s">
        <v>47</v>
      </c>
      <c r="G93" s="2">
        <v>0</v>
      </c>
      <c r="H93">
        <f t="shared" si="7"/>
        <v>2.9603000000000002</v>
      </c>
      <c r="I93">
        <v>21</v>
      </c>
      <c r="J93">
        <f t="shared" si="5"/>
        <v>62.166300000000007</v>
      </c>
      <c r="K93">
        <f t="shared" si="6"/>
        <v>62.166300000000007</v>
      </c>
    </row>
    <row r="94" spans="1:11" x14ac:dyDescent="0.25">
      <c r="A94" s="1">
        <v>45739</v>
      </c>
      <c r="B94" s="1">
        <v>45731</v>
      </c>
      <c r="C94" s="1" t="s">
        <v>12</v>
      </c>
      <c r="D94" t="s">
        <v>35</v>
      </c>
      <c r="E94" t="s">
        <v>39</v>
      </c>
      <c r="F94" t="s">
        <v>47</v>
      </c>
      <c r="G94" s="2">
        <v>6.0000000000000001E-3</v>
      </c>
      <c r="H94">
        <f t="shared" si="7"/>
        <v>4.9489400000000003</v>
      </c>
      <c r="I94">
        <v>41</v>
      </c>
      <c r="J94">
        <f t="shared" si="5"/>
        <v>202.90654000000001</v>
      </c>
      <c r="K94">
        <f t="shared" si="6"/>
        <v>202.90654000000001</v>
      </c>
    </row>
    <row r="95" spans="1:11" x14ac:dyDescent="0.25">
      <c r="A95" s="1">
        <v>45739</v>
      </c>
      <c r="B95" s="1">
        <v>45731</v>
      </c>
      <c r="C95" s="1" t="s">
        <v>12</v>
      </c>
      <c r="D95" t="s">
        <v>38</v>
      </c>
      <c r="E95" t="s">
        <v>39</v>
      </c>
      <c r="F95" t="s">
        <v>47</v>
      </c>
      <c r="G95" s="2">
        <v>0</v>
      </c>
      <c r="H95">
        <f t="shared" si="7"/>
        <v>2.9603000000000002</v>
      </c>
      <c r="I95">
        <v>41</v>
      </c>
      <c r="J95">
        <f t="shared" si="5"/>
        <v>121.37230000000001</v>
      </c>
      <c r="K95">
        <f t="shared" si="6"/>
        <v>121.37230000000001</v>
      </c>
    </row>
    <row r="96" spans="1:11" x14ac:dyDescent="0.25">
      <c r="A96" s="1">
        <v>45739</v>
      </c>
      <c r="B96" s="1">
        <v>45731</v>
      </c>
      <c r="C96" s="1" t="s">
        <v>12</v>
      </c>
      <c r="D96" t="s">
        <v>36</v>
      </c>
      <c r="E96" t="s">
        <v>40</v>
      </c>
      <c r="F96" t="s">
        <v>47</v>
      </c>
      <c r="G96" s="2">
        <v>0</v>
      </c>
      <c r="H96">
        <f t="shared" si="7"/>
        <v>2.9603000000000002</v>
      </c>
      <c r="I96">
        <v>21</v>
      </c>
      <c r="J96">
        <f t="shared" si="5"/>
        <v>62.166300000000007</v>
      </c>
      <c r="K96">
        <f t="shared" si="6"/>
        <v>62.166300000000007</v>
      </c>
    </row>
    <row r="97" spans="1:11" x14ac:dyDescent="0.25">
      <c r="A97" s="1">
        <v>45739</v>
      </c>
      <c r="B97" s="1">
        <v>45731</v>
      </c>
      <c r="C97" s="1" t="s">
        <v>12</v>
      </c>
      <c r="D97" t="s">
        <v>37</v>
      </c>
      <c r="E97" t="s">
        <v>40</v>
      </c>
      <c r="F97" t="s">
        <v>47</v>
      </c>
      <c r="G97" s="2">
        <v>2.8000000000000001E-2</v>
      </c>
      <c r="H97">
        <f t="shared" si="7"/>
        <v>12.24062</v>
      </c>
      <c r="I97">
        <v>21</v>
      </c>
      <c r="J97">
        <f t="shared" si="5"/>
        <v>257.05302</v>
      </c>
      <c r="K97">
        <f t="shared" si="6"/>
        <v>257.05302</v>
      </c>
    </row>
    <row r="98" spans="1:11" x14ac:dyDescent="0.25">
      <c r="A98" s="1">
        <v>45739</v>
      </c>
      <c r="B98" s="1">
        <v>45731</v>
      </c>
      <c r="C98" s="1" t="s">
        <v>12</v>
      </c>
      <c r="D98" t="s">
        <v>35</v>
      </c>
      <c r="E98" t="s">
        <v>40</v>
      </c>
      <c r="F98" t="s">
        <v>47</v>
      </c>
      <c r="G98" s="2">
        <v>3.3000000000000002E-2</v>
      </c>
      <c r="H98">
        <f t="shared" si="7"/>
        <v>13.897820000000001</v>
      </c>
      <c r="I98">
        <v>41</v>
      </c>
      <c r="J98">
        <f t="shared" ref="J98:J129" si="8">H98*I98</f>
        <v>569.81062000000009</v>
      </c>
      <c r="K98">
        <f t="shared" si="6"/>
        <v>569.81062000000009</v>
      </c>
    </row>
    <row r="99" spans="1:11" x14ac:dyDescent="0.25">
      <c r="A99" s="1">
        <v>45739</v>
      </c>
      <c r="B99" s="1">
        <v>45731</v>
      </c>
      <c r="C99" s="1" t="s">
        <v>12</v>
      </c>
      <c r="D99" t="s">
        <v>38</v>
      </c>
      <c r="E99" t="s">
        <v>40</v>
      </c>
      <c r="F99" t="s">
        <v>47</v>
      </c>
      <c r="G99" s="2">
        <v>0</v>
      </c>
      <c r="H99">
        <f t="shared" si="7"/>
        <v>2.9603000000000002</v>
      </c>
      <c r="I99">
        <v>41</v>
      </c>
      <c r="J99">
        <f t="shared" si="8"/>
        <v>121.37230000000001</v>
      </c>
      <c r="K99">
        <f t="shared" si="6"/>
        <v>121.37230000000001</v>
      </c>
    </row>
    <row r="100" spans="1:11" x14ac:dyDescent="0.25">
      <c r="A100" s="1">
        <v>45739</v>
      </c>
      <c r="B100" s="1">
        <v>45731</v>
      </c>
      <c r="C100" s="1" t="s">
        <v>12</v>
      </c>
      <c r="D100" t="s">
        <v>36</v>
      </c>
      <c r="E100" s="1" t="s">
        <v>41</v>
      </c>
      <c r="F100" t="s">
        <v>47</v>
      </c>
      <c r="G100" s="2">
        <v>1.9E-2</v>
      </c>
      <c r="H100">
        <f t="shared" ref="H100:H139" si="9">(331.44*G100)+2.9603</f>
        <v>9.2576599999999996</v>
      </c>
      <c r="I100">
        <v>21</v>
      </c>
      <c r="J100">
        <f t="shared" si="8"/>
        <v>194.41085999999999</v>
      </c>
      <c r="K100">
        <f t="shared" si="6"/>
        <v>194.41085999999999</v>
      </c>
    </row>
    <row r="101" spans="1:11" x14ac:dyDescent="0.25">
      <c r="A101" s="1">
        <v>45739</v>
      </c>
      <c r="B101" s="1">
        <v>45731</v>
      </c>
      <c r="C101" s="1" t="s">
        <v>12</v>
      </c>
      <c r="D101" t="s">
        <v>37</v>
      </c>
      <c r="E101" s="1" t="s">
        <v>41</v>
      </c>
      <c r="F101" t="s">
        <v>47</v>
      </c>
      <c r="G101" s="2">
        <v>0.184</v>
      </c>
      <c r="H101">
        <f t="shared" si="9"/>
        <v>63.945260000000005</v>
      </c>
      <c r="I101">
        <v>21</v>
      </c>
      <c r="J101">
        <f t="shared" si="8"/>
        <v>1342.8504600000001</v>
      </c>
      <c r="K101">
        <f t="shared" si="6"/>
        <v>1342.8504600000001</v>
      </c>
    </row>
    <row r="102" spans="1:11" x14ac:dyDescent="0.25">
      <c r="A102" s="1">
        <v>45739</v>
      </c>
      <c r="B102" s="1">
        <v>45731</v>
      </c>
      <c r="C102" s="1" t="s">
        <v>12</v>
      </c>
      <c r="D102" t="s">
        <v>35</v>
      </c>
      <c r="E102" s="1" t="s">
        <v>41</v>
      </c>
      <c r="F102" t="s">
        <v>47</v>
      </c>
      <c r="G102" s="2">
        <v>0.111</v>
      </c>
      <c r="H102">
        <f t="shared" si="9"/>
        <v>39.750140000000002</v>
      </c>
      <c r="I102">
        <v>41</v>
      </c>
      <c r="J102">
        <f t="shared" si="8"/>
        <v>1629.7557400000001</v>
      </c>
      <c r="K102">
        <f t="shared" si="6"/>
        <v>1629.7557400000001</v>
      </c>
    </row>
    <row r="103" spans="1:11" x14ac:dyDescent="0.25">
      <c r="A103" s="1">
        <v>45739</v>
      </c>
      <c r="B103" s="1">
        <v>45731</v>
      </c>
      <c r="C103" s="1" t="s">
        <v>12</v>
      </c>
      <c r="D103" t="s">
        <v>38</v>
      </c>
      <c r="E103" s="1" t="s">
        <v>41</v>
      </c>
      <c r="F103" t="s">
        <v>47</v>
      </c>
      <c r="G103" s="2">
        <v>1.6E-2</v>
      </c>
      <c r="H103">
        <f t="shared" si="9"/>
        <v>8.2633399999999995</v>
      </c>
      <c r="I103">
        <v>41</v>
      </c>
      <c r="J103">
        <f t="shared" si="8"/>
        <v>338.79693999999995</v>
      </c>
      <c r="K103">
        <f t="shared" si="6"/>
        <v>338.79693999999995</v>
      </c>
    </row>
    <row r="104" spans="1:11" x14ac:dyDescent="0.25">
      <c r="A104" s="1">
        <v>45739</v>
      </c>
      <c r="B104" s="1">
        <v>45731</v>
      </c>
      <c r="C104" s="1" t="s">
        <v>12</v>
      </c>
      <c r="D104" t="s">
        <v>36</v>
      </c>
      <c r="E104" s="1" t="s">
        <v>42</v>
      </c>
      <c r="F104" t="s">
        <v>47</v>
      </c>
      <c r="G104" s="2">
        <v>3.5000000000000003E-2</v>
      </c>
      <c r="H104">
        <f t="shared" si="9"/>
        <v>14.560700000000001</v>
      </c>
      <c r="I104">
        <v>21</v>
      </c>
      <c r="J104">
        <f t="shared" si="8"/>
        <v>305.7747</v>
      </c>
      <c r="K104">
        <f t="shared" si="6"/>
        <v>305.7747</v>
      </c>
    </row>
    <row r="105" spans="1:11" x14ac:dyDescent="0.25">
      <c r="A105" s="1">
        <v>45739</v>
      </c>
      <c r="B105" s="1">
        <v>45731</v>
      </c>
      <c r="C105" s="1" t="s">
        <v>12</v>
      </c>
      <c r="D105" t="s">
        <v>37</v>
      </c>
      <c r="E105" s="1" t="s">
        <v>42</v>
      </c>
      <c r="F105" t="s">
        <v>47</v>
      </c>
      <c r="G105" s="2">
        <v>5.0000000000000001E-3</v>
      </c>
      <c r="H105">
        <f t="shared" si="9"/>
        <v>4.6174999999999997</v>
      </c>
      <c r="I105">
        <v>21</v>
      </c>
      <c r="J105">
        <f t="shared" si="8"/>
        <v>96.967500000000001</v>
      </c>
      <c r="K105">
        <f t="shared" si="6"/>
        <v>96.967500000000001</v>
      </c>
    </row>
    <row r="106" spans="1:11" x14ac:dyDescent="0.25">
      <c r="A106" s="1">
        <v>45739</v>
      </c>
      <c r="B106" s="1">
        <v>45731</v>
      </c>
      <c r="C106" s="1" t="s">
        <v>12</v>
      </c>
      <c r="D106" t="s">
        <v>35</v>
      </c>
      <c r="E106" s="1" t="s">
        <v>42</v>
      </c>
      <c r="F106" t="s">
        <v>47</v>
      </c>
      <c r="G106" s="2">
        <v>4.0000000000000001E-3</v>
      </c>
      <c r="H106">
        <f t="shared" si="9"/>
        <v>4.28606</v>
      </c>
      <c r="I106">
        <v>41</v>
      </c>
      <c r="J106">
        <f t="shared" si="8"/>
        <v>175.72846000000001</v>
      </c>
      <c r="K106">
        <f t="shared" si="6"/>
        <v>175.72846000000001</v>
      </c>
    </row>
    <row r="107" spans="1:11" x14ac:dyDescent="0.25">
      <c r="A107" s="1">
        <v>45739</v>
      </c>
      <c r="B107" s="1">
        <v>45731</v>
      </c>
      <c r="C107" s="1" t="s">
        <v>12</v>
      </c>
      <c r="D107" t="s">
        <v>38</v>
      </c>
      <c r="E107" s="1" t="s">
        <v>42</v>
      </c>
      <c r="F107" t="s">
        <v>47</v>
      </c>
      <c r="G107" s="2">
        <v>0.32300000000000001</v>
      </c>
      <c r="H107">
        <f t="shared" si="9"/>
        <v>110.01542000000001</v>
      </c>
      <c r="I107">
        <v>41</v>
      </c>
      <c r="J107">
        <f t="shared" si="8"/>
        <v>4510.6322200000004</v>
      </c>
      <c r="K107">
        <f t="shared" si="6"/>
        <v>4510.6322200000004</v>
      </c>
    </row>
    <row r="108" spans="1:11" x14ac:dyDescent="0.25">
      <c r="A108" s="1">
        <v>45739</v>
      </c>
      <c r="B108" s="1">
        <v>45731</v>
      </c>
      <c r="C108" s="1" t="s">
        <v>12</v>
      </c>
      <c r="D108" t="s">
        <v>36</v>
      </c>
      <c r="E108" s="1" t="s">
        <v>43</v>
      </c>
      <c r="F108" t="s">
        <v>47</v>
      </c>
      <c r="G108" s="2">
        <v>2.1000000000000001E-2</v>
      </c>
      <c r="H108">
        <f t="shared" si="9"/>
        <v>9.9205400000000008</v>
      </c>
      <c r="I108">
        <v>21</v>
      </c>
      <c r="J108">
        <f t="shared" si="8"/>
        <v>208.33134000000001</v>
      </c>
      <c r="K108">
        <f t="shared" si="6"/>
        <v>208.33134000000001</v>
      </c>
    </row>
    <row r="109" spans="1:11" x14ac:dyDescent="0.25">
      <c r="A109" s="1">
        <v>45739</v>
      </c>
      <c r="B109" s="1">
        <v>45731</v>
      </c>
      <c r="C109" s="1" t="s">
        <v>12</v>
      </c>
      <c r="D109" t="s">
        <v>37</v>
      </c>
      <c r="E109" s="1" t="s">
        <v>43</v>
      </c>
      <c r="F109" t="s">
        <v>47</v>
      </c>
      <c r="G109" s="2">
        <v>2E-3</v>
      </c>
      <c r="H109">
        <f t="shared" si="9"/>
        <v>3.6231800000000001</v>
      </c>
      <c r="I109">
        <v>21</v>
      </c>
      <c r="J109">
        <f t="shared" si="8"/>
        <v>76.086780000000005</v>
      </c>
      <c r="K109">
        <f t="shared" si="6"/>
        <v>76.086780000000005</v>
      </c>
    </row>
    <row r="110" spans="1:11" x14ac:dyDescent="0.25">
      <c r="A110" s="1">
        <v>45739</v>
      </c>
      <c r="B110" s="1">
        <v>45731</v>
      </c>
      <c r="C110" s="1" t="s">
        <v>12</v>
      </c>
      <c r="D110" t="s">
        <v>35</v>
      </c>
      <c r="E110" s="1" t="s">
        <v>43</v>
      </c>
      <c r="F110" t="s">
        <v>47</v>
      </c>
      <c r="G110" s="2">
        <v>5.6000000000000001E-2</v>
      </c>
      <c r="H110">
        <f t="shared" si="9"/>
        <v>21.52094</v>
      </c>
      <c r="I110">
        <v>41</v>
      </c>
      <c r="J110">
        <f t="shared" si="8"/>
        <v>882.35853999999995</v>
      </c>
      <c r="K110">
        <f t="shared" si="6"/>
        <v>882.35853999999995</v>
      </c>
    </row>
    <row r="111" spans="1:11" x14ac:dyDescent="0.25">
      <c r="A111" s="1">
        <v>45739</v>
      </c>
      <c r="B111" s="1">
        <v>45731</v>
      </c>
      <c r="C111" s="1" t="s">
        <v>12</v>
      </c>
      <c r="D111" t="s">
        <v>38</v>
      </c>
      <c r="E111" s="1" t="s">
        <v>43</v>
      </c>
      <c r="F111" t="s">
        <v>47</v>
      </c>
      <c r="G111" s="2">
        <v>0</v>
      </c>
      <c r="H111">
        <f t="shared" si="9"/>
        <v>2.9603000000000002</v>
      </c>
      <c r="I111">
        <v>41</v>
      </c>
      <c r="J111">
        <f t="shared" si="8"/>
        <v>121.37230000000001</v>
      </c>
      <c r="K111">
        <f t="shared" si="6"/>
        <v>121.37230000000001</v>
      </c>
    </row>
    <row r="112" spans="1:11" x14ac:dyDescent="0.25">
      <c r="A112" s="1">
        <v>45739</v>
      </c>
      <c r="B112" s="1">
        <v>45731</v>
      </c>
      <c r="C112" s="1" t="s">
        <v>12</v>
      </c>
      <c r="D112" t="s">
        <v>36</v>
      </c>
      <c r="E112" s="1" t="s">
        <v>44</v>
      </c>
      <c r="F112" t="s">
        <v>47</v>
      </c>
      <c r="G112" s="2">
        <v>5.5E-2</v>
      </c>
      <c r="H112">
        <f t="shared" si="9"/>
        <v>21.189499999999999</v>
      </c>
      <c r="I112">
        <v>21</v>
      </c>
      <c r="J112">
        <f t="shared" si="8"/>
        <v>444.97949999999997</v>
      </c>
      <c r="K112">
        <f t="shared" si="6"/>
        <v>444.97949999999997</v>
      </c>
    </row>
    <row r="113" spans="1:11" x14ac:dyDescent="0.25">
      <c r="A113" s="1">
        <v>45739</v>
      </c>
      <c r="B113" s="1">
        <v>45731</v>
      </c>
      <c r="C113" s="1" t="s">
        <v>12</v>
      </c>
      <c r="D113" t="s">
        <v>37</v>
      </c>
      <c r="E113" s="1" t="s">
        <v>44</v>
      </c>
      <c r="F113" t="s">
        <v>47</v>
      </c>
      <c r="G113" s="2">
        <v>0</v>
      </c>
      <c r="H113">
        <f t="shared" si="9"/>
        <v>2.9603000000000002</v>
      </c>
      <c r="I113">
        <v>21</v>
      </c>
      <c r="J113">
        <f t="shared" si="8"/>
        <v>62.166300000000007</v>
      </c>
      <c r="K113">
        <f t="shared" si="6"/>
        <v>62.166300000000007</v>
      </c>
    </row>
    <row r="114" spans="1:11" x14ac:dyDescent="0.25">
      <c r="A114" s="1">
        <v>45739</v>
      </c>
      <c r="B114" s="1">
        <v>45731</v>
      </c>
      <c r="C114" s="1" t="s">
        <v>12</v>
      </c>
      <c r="D114" t="s">
        <v>35</v>
      </c>
      <c r="E114" s="1" t="s">
        <v>44</v>
      </c>
      <c r="F114" t="s">
        <v>47</v>
      </c>
      <c r="G114" s="2">
        <v>0</v>
      </c>
      <c r="H114">
        <f t="shared" si="9"/>
        <v>2.9603000000000002</v>
      </c>
      <c r="I114">
        <v>41</v>
      </c>
      <c r="J114">
        <f t="shared" si="8"/>
        <v>121.37230000000001</v>
      </c>
      <c r="K114">
        <f t="shared" si="6"/>
        <v>121.37230000000001</v>
      </c>
    </row>
    <row r="115" spans="1:11" x14ac:dyDescent="0.25">
      <c r="A115" s="1">
        <v>45739</v>
      </c>
      <c r="B115" s="1">
        <v>45731</v>
      </c>
      <c r="C115" s="1" t="s">
        <v>12</v>
      </c>
      <c r="D115" t="s">
        <v>38</v>
      </c>
      <c r="E115" s="1" t="s">
        <v>44</v>
      </c>
      <c r="F115" t="s">
        <v>47</v>
      </c>
      <c r="G115" s="2">
        <v>0</v>
      </c>
      <c r="H115">
        <f t="shared" si="9"/>
        <v>2.9603000000000002</v>
      </c>
      <c r="I115">
        <v>41</v>
      </c>
      <c r="J115">
        <f t="shared" si="8"/>
        <v>121.37230000000001</v>
      </c>
      <c r="K115">
        <f t="shared" si="6"/>
        <v>121.37230000000001</v>
      </c>
    </row>
    <row r="116" spans="1:11" x14ac:dyDescent="0.25">
      <c r="A116" s="1">
        <v>45739</v>
      </c>
      <c r="B116" s="1">
        <v>45731</v>
      </c>
      <c r="C116" s="1" t="s">
        <v>30</v>
      </c>
      <c r="D116" t="s">
        <v>36</v>
      </c>
      <c r="E116" t="s">
        <v>39</v>
      </c>
      <c r="F116" t="s">
        <v>47</v>
      </c>
      <c r="G116" s="2">
        <v>0</v>
      </c>
      <c r="H116">
        <f t="shared" si="9"/>
        <v>2.9603000000000002</v>
      </c>
      <c r="I116">
        <v>21</v>
      </c>
      <c r="J116">
        <f t="shared" si="8"/>
        <v>62.166300000000007</v>
      </c>
      <c r="K116">
        <f t="shared" si="6"/>
        <v>62.166300000000007</v>
      </c>
    </row>
    <row r="117" spans="1:11" x14ac:dyDescent="0.25">
      <c r="A117" s="1">
        <v>45739</v>
      </c>
      <c r="B117" s="1">
        <v>45731</v>
      </c>
      <c r="C117" s="1" t="s">
        <v>30</v>
      </c>
      <c r="D117" t="s">
        <v>37</v>
      </c>
      <c r="E117" t="s">
        <v>39</v>
      </c>
      <c r="F117" t="s">
        <v>47</v>
      </c>
      <c r="G117" s="2">
        <v>0</v>
      </c>
      <c r="H117">
        <f t="shared" si="9"/>
        <v>2.9603000000000002</v>
      </c>
      <c r="I117">
        <v>21</v>
      </c>
      <c r="J117">
        <f t="shared" si="8"/>
        <v>62.166300000000007</v>
      </c>
      <c r="K117">
        <f t="shared" si="6"/>
        <v>62.166300000000007</v>
      </c>
    </row>
    <row r="118" spans="1:11" x14ac:dyDescent="0.25">
      <c r="A118" s="1">
        <v>45739</v>
      </c>
      <c r="B118" s="1">
        <v>45731</v>
      </c>
      <c r="C118" s="1" t="s">
        <v>30</v>
      </c>
      <c r="D118" t="s">
        <v>35</v>
      </c>
      <c r="E118" t="s">
        <v>39</v>
      </c>
      <c r="F118" t="s">
        <v>47</v>
      </c>
      <c r="G118" s="2">
        <v>2E-3</v>
      </c>
      <c r="H118">
        <f t="shared" si="9"/>
        <v>3.6231800000000001</v>
      </c>
      <c r="I118">
        <v>41</v>
      </c>
      <c r="J118">
        <f t="shared" si="8"/>
        <v>148.55037999999999</v>
      </c>
      <c r="K118">
        <f t="shared" si="6"/>
        <v>148.55037999999999</v>
      </c>
    </row>
    <row r="119" spans="1:11" x14ac:dyDescent="0.25">
      <c r="A119" s="1">
        <v>45739</v>
      </c>
      <c r="B119" s="1">
        <v>45731</v>
      </c>
      <c r="C119" s="1" t="s">
        <v>30</v>
      </c>
      <c r="D119" t="s">
        <v>38</v>
      </c>
      <c r="E119" t="s">
        <v>39</v>
      </c>
      <c r="F119" t="s">
        <v>47</v>
      </c>
      <c r="G119" s="2">
        <v>0</v>
      </c>
      <c r="H119">
        <f t="shared" si="9"/>
        <v>2.9603000000000002</v>
      </c>
      <c r="I119">
        <v>41</v>
      </c>
      <c r="J119">
        <f t="shared" si="8"/>
        <v>121.37230000000001</v>
      </c>
      <c r="K119">
        <f t="shared" si="6"/>
        <v>121.37230000000001</v>
      </c>
    </row>
    <row r="120" spans="1:11" x14ac:dyDescent="0.25">
      <c r="A120" s="1">
        <v>45739</v>
      </c>
      <c r="B120" s="1">
        <v>45731</v>
      </c>
      <c r="C120" s="1" t="s">
        <v>30</v>
      </c>
      <c r="D120" t="s">
        <v>36</v>
      </c>
      <c r="E120" t="s">
        <v>40</v>
      </c>
      <c r="F120" t="s">
        <v>47</v>
      </c>
      <c r="G120" s="2">
        <v>0</v>
      </c>
      <c r="H120">
        <f t="shared" si="9"/>
        <v>2.9603000000000002</v>
      </c>
      <c r="I120">
        <v>21</v>
      </c>
      <c r="J120">
        <f t="shared" si="8"/>
        <v>62.166300000000007</v>
      </c>
      <c r="K120">
        <f t="shared" si="6"/>
        <v>62.166300000000007</v>
      </c>
    </row>
    <row r="121" spans="1:11" x14ac:dyDescent="0.25">
      <c r="A121" s="1">
        <v>45739</v>
      </c>
      <c r="B121" s="1">
        <v>45731</v>
      </c>
      <c r="C121" s="1" t="s">
        <v>30</v>
      </c>
      <c r="D121" t="s">
        <v>37</v>
      </c>
      <c r="E121" t="s">
        <v>40</v>
      </c>
      <c r="F121" t="s">
        <v>47</v>
      </c>
      <c r="G121" s="2">
        <v>4.0000000000000001E-3</v>
      </c>
      <c r="H121">
        <f t="shared" si="9"/>
        <v>4.28606</v>
      </c>
      <c r="I121">
        <v>21</v>
      </c>
      <c r="J121">
        <f t="shared" si="8"/>
        <v>90.007260000000002</v>
      </c>
      <c r="K121">
        <f t="shared" si="6"/>
        <v>90.007260000000002</v>
      </c>
    </row>
    <row r="122" spans="1:11" x14ac:dyDescent="0.25">
      <c r="A122" s="1">
        <v>45739</v>
      </c>
      <c r="B122" s="1">
        <v>45731</v>
      </c>
      <c r="C122" s="1" t="s">
        <v>30</v>
      </c>
      <c r="D122" t="s">
        <v>35</v>
      </c>
      <c r="E122" t="s">
        <v>40</v>
      </c>
      <c r="F122" t="s">
        <v>47</v>
      </c>
      <c r="G122" s="2">
        <v>0</v>
      </c>
      <c r="H122">
        <f t="shared" si="9"/>
        <v>2.9603000000000002</v>
      </c>
      <c r="I122">
        <v>41</v>
      </c>
      <c r="J122">
        <f t="shared" si="8"/>
        <v>121.37230000000001</v>
      </c>
      <c r="K122">
        <f t="shared" si="6"/>
        <v>121.37230000000001</v>
      </c>
    </row>
    <row r="123" spans="1:11" x14ac:dyDescent="0.25">
      <c r="A123" s="1">
        <v>45739</v>
      </c>
      <c r="B123" s="1">
        <v>45731</v>
      </c>
      <c r="C123" s="1" t="s">
        <v>30</v>
      </c>
      <c r="D123" t="s">
        <v>38</v>
      </c>
      <c r="E123" t="s">
        <v>40</v>
      </c>
      <c r="F123" t="s">
        <v>47</v>
      </c>
      <c r="G123" s="2">
        <v>0</v>
      </c>
      <c r="H123">
        <f t="shared" si="9"/>
        <v>2.9603000000000002</v>
      </c>
      <c r="I123">
        <v>41</v>
      </c>
      <c r="J123">
        <f t="shared" si="8"/>
        <v>121.37230000000001</v>
      </c>
      <c r="K123">
        <f t="shared" si="6"/>
        <v>121.37230000000001</v>
      </c>
    </row>
    <row r="124" spans="1:11" x14ac:dyDescent="0.25">
      <c r="A124" s="1">
        <v>45739</v>
      </c>
      <c r="B124" s="1">
        <v>45731</v>
      </c>
      <c r="C124" s="1" t="s">
        <v>30</v>
      </c>
      <c r="D124" t="s">
        <v>36</v>
      </c>
      <c r="E124" s="1" t="s">
        <v>41</v>
      </c>
      <c r="F124" t="s">
        <v>47</v>
      </c>
      <c r="G124" s="2">
        <v>0.11799999999999999</v>
      </c>
      <c r="H124">
        <f t="shared" si="9"/>
        <v>42.070219999999992</v>
      </c>
      <c r="I124">
        <v>21</v>
      </c>
      <c r="J124">
        <f t="shared" si="8"/>
        <v>883.47461999999985</v>
      </c>
      <c r="K124">
        <f t="shared" si="6"/>
        <v>883.47461999999985</v>
      </c>
    </row>
    <row r="125" spans="1:11" x14ac:dyDescent="0.25">
      <c r="A125" s="1">
        <v>45739</v>
      </c>
      <c r="B125" s="1">
        <v>45731</v>
      </c>
      <c r="C125" s="1" t="s">
        <v>30</v>
      </c>
      <c r="D125" t="s">
        <v>37</v>
      </c>
      <c r="E125" s="1" t="s">
        <v>41</v>
      </c>
      <c r="F125" t="s">
        <v>47</v>
      </c>
      <c r="G125" s="2">
        <v>0</v>
      </c>
      <c r="H125">
        <f t="shared" si="9"/>
        <v>2.9603000000000002</v>
      </c>
      <c r="I125">
        <v>21</v>
      </c>
      <c r="J125">
        <f t="shared" si="8"/>
        <v>62.166300000000007</v>
      </c>
      <c r="K125">
        <f t="shared" si="6"/>
        <v>62.166300000000007</v>
      </c>
    </row>
    <row r="126" spans="1:11" x14ac:dyDescent="0.25">
      <c r="A126" s="1">
        <v>45739</v>
      </c>
      <c r="B126" s="1">
        <v>45731</v>
      </c>
      <c r="C126" s="1" t="s">
        <v>30</v>
      </c>
      <c r="D126" t="s">
        <v>35</v>
      </c>
      <c r="E126" s="1" t="s">
        <v>41</v>
      </c>
      <c r="F126" t="s">
        <v>47</v>
      </c>
      <c r="G126" s="2">
        <v>0</v>
      </c>
      <c r="H126">
        <f t="shared" si="9"/>
        <v>2.9603000000000002</v>
      </c>
      <c r="I126">
        <v>41</v>
      </c>
      <c r="J126">
        <f t="shared" si="8"/>
        <v>121.37230000000001</v>
      </c>
      <c r="K126">
        <f t="shared" si="6"/>
        <v>121.37230000000001</v>
      </c>
    </row>
    <row r="127" spans="1:11" x14ac:dyDescent="0.25">
      <c r="A127" s="1">
        <v>45739</v>
      </c>
      <c r="B127" s="1">
        <v>45731</v>
      </c>
      <c r="C127" s="1" t="s">
        <v>30</v>
      </c>
      <c r="D127" t="s">
        <v>38</v>
      </c>
      <c r="E127" s="1" t="s">
        <v>41</v>
      </c>
      <c r="F127" t="s">
        <v>47</v>
      </c>
      <c r="G127" s="2">
        <v>3.6999999999999998E-2</v>
      </c>
      <c r="H127">
        <f t="shared" si="9"/>
        <v>15.22358</v>
      </c>
      <c r="I127">
        <v>41</v>
      </c>
      <c r="J127">
        <f t="shared" si="8"/>
        <v>624.16678000000002</v>
      </c>
      <c r="K127">
        <f t="shared" si="6"/>
        <v>624.16678000000002</v>
      </c>
    </row>
    <row r="128" spans="1:11" x14ac:dyDescent="0.25">
      <c r="A128" s="1">
        <v>45739</v>
      </c>
      <c r="B128" s="1">
        <v>45731</v>
      </c>
      <c r="C128" s="1" t="s">
        <v>30</v>
      </c>
      <c r="D128" t="s">
        <v>36</v>
      </c>
      <c r="E128" s="1" t="s">
        <v>42</v>
      </c>
      <c r="F128" t="s">
        <v>47</v>
      </c>
      <c r="G128" s="2">
        <v>0</v>
      </c>
      <c r="H128">
        <f t="shared" si="9"/>
        <v>2.9603000000000002</v>
      </c>
      <c r="I128">
        <v>21</v>
      </c>
      <c r="J128">
        <f t="shared" si="8"/>
        <v>62.166300000000007</v>
      </c>
      <c r="K128">
        <f t="shared" si="6"/>
        <v>62.166300000000007</v>
      </c>
    </row>
    <row r="129" spans="1:11" x14ac:dyDescent="0.25">
      <c r="A129" s="1">
        <v>45739</v>
      </c>
      <c r="B129" s="1">
        <v>45731</v>
      </c>
      <c r="C129" s="1" t="s">
        <v>30</v>
      </c>
      <c r="D129" t="s">
        <v>37</v>
      </c>
      <c r="E129" s="1" t="s">
        <v>42</v>
      </c>
      <c r="F129" t="s">
        <v>47</v>
      </c>
      <c r="G129" s="2">
        <v>2E-3</v>
      </c>
      <c r="H129">
        <f t="shared" si="9"/>
        <v>3.6231800000000001</v>
      </c>
      <c r="I129">
        <v>21</v>
      </c>
      <c r="J129">
        <f t="shared" si="8"/>
        <v>76.086780000000005</v>
      </c>
      <c r="K129">
        <f t="shared" si="6"/>
        <v>76.086780000000005</v>
      </c>
    </row>
    <row r="130" spans="1:11" x14ac:dyDescent="0.25">
      <c r="A130" s="1">
        <v>45739</v>
      </c>
      <c r="B130" s="1">
        <v>45731</v>
      </c>
      <c r="C130" s="1" t="s">
        <v>30</v>
      </c>
      <c r="D130" t="s">
        <v>35</v>
      </c>
      <c r="E130" s="1" t="s">
        <v>42</v>
      </c>
      <c r="F130" t="s">
        <v>47</v>
      </c>
      <c r="G130" s="2">
        <v>0</v>
      </c>
      <c r="H130">
        <f t="shared" si="9"/>
        <v>2.9603000000000002</v>
      </c>
      <c r="I130">
        <v>41</v>
      </c>
      <c r="J130">
        <f t="shared" ref="J130:J193" si="10">H130*I130</f>
        <v>121.37230000000001</v>
      </c>
      <c r="K130">
        <f t="shared" si="6"/>
        <v>121.37230000000001</v>
      </c>
    </row>
    <row r="131" spans="1:11" x14ac:dyDescent="0.25">
      <c r="A131" s="1">
        <v>45739</v>
      </c>
      <c r="B131" s="1">
        <v>45731</v>
      </c>
      <c r="C131" s="1" t="s">
        <v>30</v>
      </c>
      <c r="D131" t="s">
        <v>38</v>
      </c>
      <c r="E131" s="1" t="s">
        <v>42</v>
      </c>
      <c r="F131" t="s">
        <v>47</v>
      </c>
      <c r="G131" s="2">
        <v>0</v>
      </c>
      <c r="H131">
        <f t="shared" si="9"/>
        <v>2.9603000000000002</v>
      </c>
      <c r="I131">
        <v>41</v>
      </c>
      <c r="J131">
        <f t="shared" si="10"/>
        <v>121.37230000000001</v>
      </c>
      <c r="K131">
        <f t="shared" ref="K131:K194" si="11">MAX(J131,0)</f>
        <v>121.37230000000001</v>
      </c>
    </row>
    <row r="132" spans="1:11" x14ac:dyDescent="0.25">
      <c r="A132" s="1">
        <v>45739</v>
      </c>
      <c r="B132" s="1">
        <v>45731</v>
      </c>
      <c r="C132" s="1" t="s">
        <v>30</v>
      </c>
      <c r="D132" t="s">
        <v>36</v>
      </c>
      <c r="E132" s="1" t="s">
        <v>43</v>
      </c>
      <c r="F132" t="s">
        <v>47</v>
      </c>
      <c r="G132" s="2">
        <v>0</v>
      </c>
      <c r="H132">
        <f t="shared" si="9"/>
        <v>2.9603000000000002</v>
      </c>
      <c r="I132">
        <v>21</v>
      </c>
      <c r="J132">
        <f t="shared" si="10"/>
        <v>62.166300000000007</v>
      </c>
      <c r="K132">
        <f t="shared" si="11"/>
        <v>62.166300000000007</v>
      </c>
    </row>
    <row r="133" spans="1:11" x14ac:dyDescent="0.25">
      <c r="A133" s="1">
        <v>45739</v>
      </c>
      <c r="B133" s="1">
        <v>45731</v>
      </c>
      <c r="C133" s="1" t="s">
        <v>30</v>
      </c>
      <c r="D133" t="s">
        <v>37</v>
      </c>
      <c r="E133" s="1" t="s">
        <v>43</v>
      </c>
      <c r="F133" t="s">
        <v>47</v>
      </c>
      <c r="G133" s="2">
        <v>0</v>
      </c>
      <c r="H133">
        <f t="shared" si="9"/>
        <v>2.9603000000000002</v>
      </c>
      <c r="I133">
        <v>21</v>
      </c>
      <c r="J133">
        <f t="shared" si="10"/>
        <v>62.166300000000007</v>
      </c>
      <c r="K133">
        <f t="shared" si="11"/>
        <v>62.166300000000007</v>
      </c>
    </row>
    <row r="134" spans="1:11" x14ac:dyDescent="0.25">
      <c r="A134" s="1">
        <v>45739</v>
      </c>
      <c r="B134" s="1">
        <v>45731</v>
      </c>
      <c r="C134" s="1" t="s">
        <v>30</v>
      </c>
      <c r="D134" t="s">
        <v>35</v>
      </c>
      <c r="E134" s="1" t="s">
        <v>43</v>
      </c>
      <c r="F134" t="s">
        <v>47</v>
      </c>
      <c r="G134" s="2">
        <v>0</v>
      </c>
      <c r="H134">
        <f t="shared" si="9"/>
        <v>2.9603000000000002</v>
      </c>
      <c r="I134">
        <v>41</v>
      </c>
      <c r="J134">
        <f t="shared" si="10"/>
        <v>121.37230000000001</v>
      </c>
      <c r="K134">
        <f t="shared" si="11"/>
        <v>121.37230000000001</v>
      </c>
    </row>
    <row r="135" spans="1:11" x14ac:dyDescent="0.25">
      <c r="A135" s="1">
        <v>45739</v>
      </c>
      <c r="B135" s="1">
        <v>45731</v>
      </c>
      <c r="C135" s="1" t="s">
        <v>30</v>
      </c>
      <c r="D135" t="s">
        <v>38</v>
      </c>
      <c r="E135" s="1" t="s">
        <v>43</v>
      </c>
      <c r="F135" t="s">
        <v>47</v>
      </c>
      <c r="G135" s="2">
        <v>0</v>
      </c>
      <c r="H135">
        <f t="shared" si="9"/>
        <v>2.9603000000000002</v>
      </c>
      <c r="I135">
        <v>41</v>
      </c>
      <c r="J135">
        <f t="shared" si="10"/>
        <v>121.37230000000001</v>
      </c>
      <c r="K135">
        <f t="shared" si="11"/>
        <v>121.37230000000001</v>
      </c>
    </row>
    <row r="136" spans="1:11" x14ac:dyDescent="0.25">
      <c r="A136" s="1">
        <v>45739</v>
      </c>
      <c r="B136" s="1">
        <v>45731</v>
      </c>
      <c r="C136" s="1" t="s">
        <v>30</v>
      </c>
      <c r="D136" t="s">
        <v>36</v>
      </c>
      <c r="E136" s="1" t="s">
        <v>44</v>
      </c>
      <c r="F136" t="s">
        <v>47</v>
      </c>
      <c r="G136" s="2">
        <v>0</v>
      </c>
      <c r="H136">
        <f t="shared" si="9"/>
        <v>2.9603000000000002</v>
      </c>
      <c r="I136">
        <v>21</v>
      </c>
      <c r="J136">
        <f t="shared" si="10"/>
        <v>62.166300000000007</v>
      </c>
      <c r="K136">
        <f t="shared" si="11"/>
        <v>62.166300000000007</v>
      </c>
    </row>
    <row r="137" spans="1:11" x14ac:dyDescent="0.25">
      <c r="A137" s="1">
        <v>45739</v>
      </c>
      <c r="B137" s="1">
        <v>45731</v>
      </c>
      <c r="C137" s="1" t="s">
        <v>30</v>
      </c>
      <c r="D137" t="s">
        <v>37</v>
      </c>
      <c r="E137" s="1" t="s">
        <v>44</v>
      </c>
      <c r="F137" t="s">
        <v>47</v>
      </c>
      <c r="G137" s="2">
        <v>2.3E-2</v>
      </c>
      <c r="H137">
        <f t="shared" si="9"/>
        <v>10.58342</v>
      </c>
      <c r="I137">
        <v>21</v>
      </c>
      <c r="J137">
        <f t="shared" si="10"/>
        <v>222.25182000000001</v>
      </c>
      <c r="K137">
        <f t="shared" si="11"/>
        <v>222.25182000000001</v>
      </c>
    </row>
    <row r="138" spans="1:11" x14ac:dyDescent="0.25">
      <c r="A138" s="1">
        <v>45739</v>
      </c>
      <c r="B138" s="1">
        <v>45731</v>
      </c>
      <c r="C138" s="1" t="s">
        <v>30</v>
      </c>
      <c r="D138" t="s">
        <v>35</v>
      </c>
      <c r="E138" s="1" t="s">
        <v>44</v>
      </c>
      <c r="F138" t="s">
        <v>47</v>
      </c>
      <c r="G138" s="2">
        <v>2.9000000000000001E-2</v>
      </c>
      <c r="H138">
        <f t="shared" si="9"/>
        <v>12.57206</v>
      </c>
      <c r="I138">
        <v>41</v>
      </c>
      <c r="J138">
        <f t="shared" si="10"/>
        <v>515.45446000000004</v>
      </c>
      <c r="K138">
        <f t="shared" si="11"/>
        <v>515.45446000000004</v>
      </c>
    </row>
    <row r="139" spans="1:11" x14ac:dyDescent="0.25">
      <c r="A139" s="1">
        <v>45739</v>
      </c>
      <c r="B139" s="1">
        <v>45731</v>
      </c>
      <c r="C139" s="1" t="s">
        <v>30</v>
      </c>
      <c r="D139" t="s">
        <v>38</v>
      </c>
      <c r="E139" s="1" t="s">
        <v>44</v>
      </c>
      <c r="F139" t="s">
        <v>47</v>
      </c>
      <c r="G139" s="2">
        <v>1.0999999999999999E-2</v>
      </c>
      <c r="H139">
        <f t="shared" si="9"/>
        <v>6.6061399999999999</v>
      </c>
      <c r="I139">
        <v>41</v>
      </c>
      <c r="J139">
        <f t="shared" si="10"/>
        <v>270.85174000000001</v>
      </c>
      <c r="K139">
        <f t="shared" si="11"/>
        <v>270.85174000000001</v>
      </c>
    </row>
    <row r="140" spans="1:11" x14ac:dyDescent="0.25">
      <c r="B140" s="4">
        <v>45800</v>
      </c>
      <c r="C140" t="s">
        <v>60</v>
      </c>
      <c r="E140" t="s">
        <v>13</v>
      </c>
      <c r="F140" t="s">
        <v>84</v>
      </c>
      <c r="G140" s="2">
        <v>0</v>
      </c>
      <c r="H140">
        <f>(352.39*G140)+1.4483</f>
        <v>1.4482999999999999</v>
      </c>
      <c r="I140">
        <v>41</v>
      </c>
      <c r="J140">
        <f t="shared" si="10"/>
        <v>59.380299999999998</v>
      </c>
      <c r="K140">
        <f t="shared" si="11"/>
        <v>59.380299999999998</v>
      </c>
    </row>
    <row r="141" spans="1:11" x14ac:dyDescent="0.25">
      <c r="B141" s="4">
        <v>45800</v>
      </c>
      <c r="C141" t="s">
        <v>60</v>
      </c>
      <c r="E141" t="s">
        <v>14</v>
      </c>
      <c r="F141" t="s">
        <v>84</v>
      </c>
      <c r="G141" s="2">
        <v>0</v>
      </c>
      <c r="H141">
        <f t="shared" ref="H141:H204" si="12">(352.39*G141)+1.4483</f>
        <v>1.4482999999999999</v>
      </c>
      <c r="I141">
        <v>41</v>
      </c>
      <c r="J141">
        <f t="shared" si="10"/>
        <v>59.380299999999998</v>
      </c>
      <c r="K141">
        <f t="shared" si="11"/>
        <v>59.380299999999998</v>
      </c>
    </row>
    <row r="142" spans="1:11" x14ac:dyDescent="0.25">
      <c r="B142" s="4">
        <v>45800</v>
      </c>
      <c r="C142" t="s">
        <v>60</v>
      </c>
      <c r="E142" t="s">
        <v>15</v>
      </c>
      <c r="F142" t="s">
        <v>84</v>
      </c>
      <c r="G142" s="2">
        <v>0</v>
      </c>
      <c r="H142">
        <f t="shared" si="12"/>
        <v>1.4482999999999999</v>
      </c>
      <c r="I142">
        <v>41</v>
      </c>
      <c r="J142">
        <f t="shared" si="10"/>
        <v>59.380299999999998</v>
      </c>
      <c r="K142">
        <f t="shared" si="11"/>
        <v>59.380299999999998</v>
      </c>
    </row>
    <row r="143" spans="1:11" x14ac:dyDescent="0.25">
      <c r="B143" s="4">
        <v>45800</v>
      </c>
      <c r="C143" t="s">
        <v>60</v>
      </c>
      <c r="E143" t="s">
        <v>61</v>
      </c>
      <c r="F143" t="s">
        <v>84</v>
      </c>
      <c r="G143" s="2">
        <v>2E-3</v>
      </c>
      <c r="H143">
        <f t="shared" si="12"/>
        <v>2.1530800000000001</v>
      </c>
      <c r="I143">
        <v>41</v>
      </c>
      <c r="J143">
        <f t="shared" si="10"/>
        <v>88.27628</v>
      </c>
      <c r="K143">
        <f t="shared" si="11"/>
        <v>88.27628</v>
      </c>
    </row>
    <row r="144" spans="1:11" x14ac:dyDescent="0.25">
      <c r="B144" s="4">
        <v>45800</v>
      </c>
      <c r="C144" t="s">
        <v>60</v>
      </c>
      <c r="E144" t="s">
        <v>16</v>
      </c>
      <c r="F144" t="s">
        <v>84</v>
      </c>
      <c r="G144" s="2">
        <v>1.0999999999999999E-2</v>
      </c>
      <c r="H144">
        <f t="shared" si="12"/>
        <v>5.3245899999999997</v>
      </c>
      <c r="I144">
        <v>41</v>
      </c>
      <c r="J144">
        <f t="shared" si="10"/>
        <v>218.30819</v>
      </c>
      <c r="K144">
        <f t="shared" si="11"/>
        <v>218.30819</v>
      </c>
    </row>
    <row r="145" spans="1:11" x14ac:dyDescent="0.25">
      <c r="B145" s="4">
        <v>45800</v>
      </c>
      <c r="C145" t="s">
        <v>60</v>
      </c>
      <c r="E145" t="s">
        <v>17</v>
      </c>
      <c r="F145" t="s">
        <v>84</v>
      </c>
      <c r="G145" s="2">
        <v>0.02</v>
      </c>
      <c r="H145">
        <f t="shared" si="12"/>
        <v>8.4961000000000002</v>
      </c>
      <c r="I145">
        <v>41</v>
      </c>
      <c r="J145">
        <f t="shared" si="10"/>
        <v>348.34010000000001</v>
      </c>
      <c r="K145">
        <f t="shared" si="11"/>
        <v>348.34010000000001</v>
      </c>
    </row>
    <row r="146" spans="1:11" x14ac:dyDescent="0.25">
      <c r="A146" s="3"/>
      <c r="B146" s="5">
        <v>45800</v>
      </c>
      <c r="C146" s="3" t="s">
        <v>60</v>
      </c>
      <c r="D146" s="3"/>
      <c r="E146" s="3" t="s">
        <v>12</v>
      </c>
      <c r="F146" t="s">
        <v>84</v>
      </c>
      <c r="G146" s="3"/>
      <c r="H146">
        <f t="shared" si="12"/>
        <v>1.4482999999999999</v>
      </c>
      <c r="I146">
        <v>41</v>
      </c>
      <c r="J146">
        <f t="shared" si="10"/>
        <v>59.380299999999998</v>
      </c>
      <c r="K146">
        <f t="shared" si="11"/>
        <v>59.380299999999998</v>
      </c>
    </row>
    <row r="147" spans="1:11" x14ac:dyDescent="0.25">
      <c r="B147" s="4">
        <v>45800</v>
      </c>
      <c r="C147" t="s">
        <v>60</v>
      </c>
      <c r="E147" t="s">
        <v>62</v>
      </c>
      <c r="F147" t="s">
        <v>84</v>
      </c>
      <c r="G147" s="2">
        <v>0</v>
      </c>
      <c r="H147">
        <f t="shared" si="12"/>
        <v>1.4482999999999999</v>
      </c>
      <c r="I147">
        <v>41</v>
      </c>
      <c r="J147">
        <f t="shared" si="10"/>
        <v>59.380299999999998</v>
      </c>
      <c r="K147">
        <f t="shared" si="11"/>
        <v>59.380299999999998</v>
      </c>
    </row>
    <row r="148" spans="1:11" x14ac:dyDescent="0.25">
      <c r="B148" s="4">
        <v>45800</v>
      </c>
      <c r="C148" t="s">
        <v>60</v>
      </c>
      <c r="E148" t="s">
        <v>18</v>
      </c>
      <c r="F148" t="s">
        <v>84</v>
      </c>
      <c r="G148" s="2">
        <v>0</v>
      </c>
      <c r="H148">
        <f t="shared" si="12"/>
        <v>1.4482999999999999</v>
      </c>
      <c r="I148">
        <v>41</v>
      </c>
      <c r="J148">
        <f t="shared" si="10"/>
        <v>59.380299999999998</v>
      </c>
      <c r="K148">
        <f t="shared" si="11"/>
        <v>59.380299999999998</v>
      </c>
    </row>
    <row r="149" spans="1:11" x14ac:dyDescent="0.25">
      <c r="B149" s="4">
        <v>45800</v>
      </c>
      <c r="C149" t="s">
        <v>60</v>
      </c>
      <c r="E149" t="s">
        <v>19</v>
      </c>
      <c r="F149" t="s">
        <v>84</v>
      </c>
      <c r="G149" s="2">
        <v>0</v>
      </c>
      <c r="H149">
        <f t="shared" si="12"/>
        <v>1.4482999999999999</v>
      </c>
      <c r="I149">
        <v>41</v>
      </c>
      <c r="J149">
        <f t="shared" si="10"/>
        <v>59.380299999999998</v>
      </c>
      <c r="K149">
        <f t="shared" si="11"/>
        <v>59.380299999999998</v>
      </c>
    </row>
    <row r="150" spans="1:11" x14ac:dyDescent="0.25">
      <c r="B150" s="4">
        <v>45800</v>
      </c>
      <c r="C150" t="s">
        <v>60</v>
      </c>
      <c r="E150" t="s">
        <v>20</v>
      </c>
      <c r="F150" t="s">
        <v>84</v>
      </c>
      <c r="G150" s="2">
        <v>0</v>
      </c>
      <c r="H150">
        <f t="shared" si="12"/>
        <v>1.4482999999999999</v>
      </c>
      <c r="I150">
        <v>41</v>
      </c>
      <c r="J150">
        <f t="shared" si="10"/>
        <v>59.380299999999998</v>
      </c>
      <c r="K150">
        <f t="shared" si="11"/>
        <v>59.380299999999998</v>
      </c>
    </row>
    <row r="151" spans="1:11" x14ac:dyDescent="0.25">
      <c r="B151" s="4">
        <v>45800</v>
      </c>
      <c r="C151" t="s">
        <v>60</v>
      </c>
      <c r="E151" t="s">
        <v>63</v>
      </c>
      <c r="F151" t="s">
        <v>84</v>
      </c>
      <c r="G151" s="2">
        <v>0</v>
      </c>
      <c r="H151">
        <f t="shared" si="12"/>
        <v>1.4482999999999999</v>
      </c>
      <c r="I151">
        <v>41</v>
      </c>
      <c r="J151">
        <f t="shared" si="10"/>
        <v>59.380299999999998</v>
      </c>
      <c r="K151">
        <f t="shared" si="11"/>
        <v>59.380299999999998</v>
      </c>
    </row>
    <row r="152" spans="1:11" x14ac:dyDescent="0.25">
      <c r="B152" s="4">
        <v>45800</v>
      </c>
      <c r="C152" t="s">
        <v>60</v>
      </c>
      <c r="E152" t="s">
        <v>21</v>
      </c>
      <c r="F152" t="s">
        <v>84</v>
      </c>
      <c r="G152" s="2">
        <v>0</v>
      </c>
      <c r="H152">
        <f t="shared" si="12"/>
        <v>1.4482999999999999</v>
      </c>
      <c r="I152">
        <v>41</v>
      </c>
      <c r="J152">
        <f t="shared" si="10"/>
        <v>59.380299999999998</v>
      </c>
      <c r="K152">
        <f t="shared" si="11"/>
        <v>59.380299999999998</v>
      </c>
    </row>
    <row r="153" spans="1:11" x14ac:dyDescent="0.25">
      <c r="B153" s="4">
        <v>45800</v>
      </c>
      <c r="C153" t="s">
        <v>60</v>
      </c>
      <c r="E153" t="s">
        <v>22</v>
      </c>
      <c r="F153" t="s">
        <v>84</v>
      </c>
      <c r="G153" s="2">
        <v>0</v>
      </c>
      <c r="H153">
        <f t="shared" si="12"/>
        <v>1.4482999999999999</v>
      </c>
      <c r="I153">
        <v>41</v>
      </c>
      <c r="J153">
        <f t="shared" si="10"/>
        <v>59.380299999999998</v>
      </c>
      <c r="K153">
        <f t="shared" si="11"/>
        <v>59.380299999999998</v>
      </c>
    </row>
    <row r="154" spans="1:11" x14ac:dyDescent="0.25">
      <c r="B154" s="4">
        <v>45800</v>
      </c>
      <c r="C154" t="s">
        <v>60</v>
      </c>
      <c r="E154" t="s">
        <v>23</v>
      </c>
      <c r="F154" t="s">
        <v>84</v>
      </c>
      <c r="G154" s="2">
        <v>0</v>
      </c>
      <c r="H154">
        <f t="shared" si="12"/>
        <v>1.4482999999999999</v>
      </c>
      <c r="I154">
        <v>41</v>
      </c>
      <c r="J154">
        <f t="shared" si="10"/>
        <v>59.380299999999998</v>
      </c>
      <c r="K154">
        <f t="shared" si="11"/>
        <v>59.380299999999998</v>
      </c>
    </row>
    <row r="155" spans="1:11" x14ac:dyDescent="0.25">
      <c r="B155" s="4">
        <v>45800</v>
      </c>
      <c r="C155" t="s">
        <v>60</v>
      </c>
      <c r="E155" t="s">
        <v>64</v>
      </c>
      <c r="F155" t="s">
        <v>84</v>
      </c>
      <c r="G155" s="2">
        <v>0</v>
      </c>
      <c r="H155">
        <f t="shared" si="12"/>
        <v>1.4482999999999999</v>
      </c>
      <c r="I155">
        <v>41</v>
      </c>
      <c r="J155">
        <f t="shared" si="10"/>
        <v>59.380299999999998</v>
      </c>
      <c r="K155">
        <f t="shared" si="11"/>
        <v>59.380299999999998</v>
      </c>
    </row>
    <row r="156" spans="1:11" x14ac:dyDescent="0.25">
      <c r="B156" s="4">
        <v>45800</v>
      </c>
      <c r="C156" t="s">
        <v>60</v>
      </c>
      <c r="E156" t="s">
        <v>24</v>
      </c>
      <c r="F156" t="s">
        <v>84</v>
      </c>
      <c r="G156" s="2">
        <v>1E-3</v>
      </c>
      <c r="H156">
        <f t="shared" si="12"/>
        <v>1.8006899999999999</v>
      </c>
      <c r="I156">
        <v>41</v>
      </c>
      <c r="J156">
        <f t="shared" si="10"/>
        <v>73.828289999999996</v>
      </c>
      <c r="K156">
        <f t="shared" si="11"/>
        <v>73.828289999999996</v>
      </c>
    </row>
    <row r="157" spans="1:11" x14ac:dyDescent="0.25">
      <c r="B157" s="4">
        <v>45800</v>
      </c>
      <c r="C157" t="s">
        <v>60</v>
      </c>
      <c r="E157" t="s">
        <v>25</v>
      </c>
      <c r="F157" t="s">
        <v>84</v>
      </c>
      <c r="G157" s="2">
        <v>0</v>
      </c>
      <c r="H157">
        <f t="shared" si="12"/>
        <v>1.4482999999999999</v>
      </c>
      <c r="I157">
        <v>41</v>
      </c>
      <c r="J157">
        <f t="shared" si="10"/>
        <v>59.380299999999998</v>
      </c>
      <c r="K157">
        <f t="shared" si="11"/>
        <v>59.380299999999998</v>
      </c>
    </row>
    <row r="158" spans="1:11" x14ac:dyDescent="0.25">
      <c r="B158" s="4">
        <v>45800</v>
      </c>
      <c r="C158" t="s">
        <v>60</v>
      </c>
      <c r="E158" t="s">
        <v>26</v>
      </c>
      <c r="F158" t="s">
        <v>84</v>
      </c>
      <c r="G158" s="2">
        <v>5.0000000000000001E-3</v>
      </c>
      <c r="H158">
        <f t="shared" si="12"/>
        <v>3.2102499999999998</v>
      </c>
      <c r="I158">
        <v>41</v>
      </c>
      <c r="J158">
        <f t="shared" si="10"/>
        <v>131.62025</v>
      </c>
      <c r="K158">
        <f t="shared" si="11"/>
        <v>131.62025</v>
      </c>
    </row>
    <row r="159" spans="1:11" x14ac:dyDescent="0.25">
      <c r="B159" s="4">
        <v>45800</v>
      </c>
      <c r="C159" t="s">
        <v>60</v>
      </c>
      <c r="E159" t="s">
        <v>65</v>
      </c>
      <c r="F159" t="s">
        <v>84</v>
      </c>
      <c r="G159" s="2">
        <v>0</v>
      </c>
      <c r="H159">
        <f t="shared" si="12"/>
        <v>1.4482999999999999</v>
      </c>
      <c r="I159">
        <v>41</v>
      </c>
      <c r="J159">
        <f t="shared" si="10"/>
        <v>59.380299999999998</v>
      </c>
      <c r="K159">
        <f t="shared" si="11"/>
        <v>59.380299999999998</v>
      </c>
    </row>
    <row r="160" spans="1:11" x14ac:dyDescent="0.25">
      <c r="B160" s="4">
        <v>45800</v>
      </c>
      <c r="C160" t="s">
        <v>60</v>
      </c>
      <c r="E160" t="s">
        <v>27</v>
      </c>
      <c r="F160" t="s">
        <v>84</v>
      </c>
      <c r="G160" s="2">
        <v>0</v>
      </c>
      <c r="H160">
        <f t="shared" si="12"/>
        <v>1.4482999999999999</v>
      </c>
      <c r="I160">
        <v>41</v>
      </c>
      <c r="J160">
        <f t="shared" si="10"/>
        <v>59.380299999999998</v>
      </c>
      <c r="K160">
        <f t="shared" si="11"/>
        <v>59.380299999999998</v>
      </c>
    </row>
    <row r="161" spans="1:11" x14ac:dyDescent="0.25">
      <c r="B161" s="4">
        <v>45800</v>
      </c>
      <c r="C161" t="s">
        <v>60</v>
      </c>
      <c r="E161" t="s">
        <v>28</v>
      </c>
      <c r="F161" t="s">
        <v>84</v>
      </c>
      <c r="G161" s="2">
        <v>0</v>
      </c>
      <c r="H161">
        <f t="shared" si="12"/>
        <v>1.4482999999999999</v>
      </c>
      <c r="I161">
        <v>41</v>
      </c>
      <c r="J161">
        <f t="shared" si="10"/>
        <v>59.380299999999998</v>
      </c>
      <c r="K161">
        <f t="shared" si="11"/>
        <v>59.380299999999998</v>
      </c>
    </row>
    <row r="162" spans="1:11" x14ac:dyDescent="0.25">
      <c r="B162" s="4">
        <v>45800</v>
      </c>
      <c r="C162" t="s">
        <v>60</v>
      </c>
      <c r="E162" t="s">
        <v>29</v>
      </c>
      <c r="F162" t="s">
        <v>84</v>
      </c>
      <c r="G162" s="2">
        <v>5.0000000000000001E-3</v>
      </c>
      <c r="H162">
        <f t="shared" si="12"/>
        <v>3.2102499999999998</v>
      </c>
      <c r="I162">
        <v>41</v>
      </c>
      <c r="J162">
        <f t="shared" si="10"/>
        <v>131.62025</v>
      </c>
      <c r="K162">
        <f t="shared" si="11"/>
        <v>131.62025</v>
      </c>
    </row>
    <row r="163" spans="1:11" x14ac:dyDescent="0.25">
      <c r="B163" s="4">
        <v>45800</v>
      </c>
      <c r="C163" t="s">
        <v>60</v>
      </c>
      <c r="E163" t="s">
        <v>66</v>
      </c>
      <c r="F163" t="s">
        <v>84</v>
      </c>
      <c r="G163" s="2">
        <v>0</v>
      </c>
      <c r="H163">
        <f t="shared" si="12"/>
        <v>1.4482999999999999</v>
      </c>
      <c r="I163">
        <v>41</v>
      </c>
      <c r="J163">
        <f t="shared" si="10"/>
        <v>59.380299999999998</v>
      </c>
      <c r="K163">
        <f t="shared" si="11"/>
        <v>59.380299999999998</v>
      </c>
    </row>
    <row r="164" spans="1:11" x14ac:dyDescent="0.25">
      <c r="B164" s="4">
        <v>45800</v>
      </c>
      <c r="C164" t="s">
        <v>60</v>
      </c>
      <c r="D164" t="s">
        <v>67</v>
      </c>
      <c r="E164">
        <v>1</v>
      </c>
      <c r="F164" t="s">
        <v>84</v>
      </c>
      <c r="G164" s="2">
        <v>1.9E-2</v>
      </c>
      <c r="H164">
        <f t="shared" si="12"/>
        <v>8.1437100000000004</v>
      </c>
      <c r="I164">
        <v>1</v>
      </c>
      <c r="J164">
        <f t="shared" si="10"/>
        <v>8.1437100000000004</v>
      </c>
      <c r="K164">
        <f t="shared" si="11"/>
        <v>8.1437100000000004</v>
      </c>
    </row>
    <row r="165" spans="1:11" x14ac:dyDescent="0.25">
      <c r="B165" s="4">
        <v>45800</v>
      </c>
      <c r="C165" t="s">
        <v>60</v>
      </c>
      <c r="D165" t="s">
        <v>67</v>
      </c>
      <c r="E165">
        <v>2</v>
      </c>
      <c r="F165" t="s">
        <v>84</v>
      </c>
      <c r="G165" s="2">
        <v>5.0000000000000001E-3</v>
      </c>
      <c r="H165">
        <f t="shared" si="12"/>
        <v>3.2102499999999998</v>
      </c>
      <c r="I165">
        <v>1</v>
      </c>
      <c r="J165">
        <f t="shared" si="10"/>
        <v>3.2102499999999998</v>
      </c>
      <c r="K165">
        <f t="shared" si="11"/>
        <v>3.2102499999999998</v>
      </c>
    </row>
    <row r="166" spans="1:11" x14ac:dyDescent="0.25">
      <c r="B166" s="4">
        <v>45800</v>
      </c>
      <c r="C166" t="s">
        <v>60</v>
      </c>
      <c r="D166" t="s">
        <v>67</v>
      </c>
      <c r="E166">
        <v>3</v>
      </c>
      <c r="F166" t="s">
        <v>84</v>
      </c>
      <c r="G166" s="2">
        <v>1E-3</v>
      </c>
      <c r="H166">
        <f t="shared" si="12"/>
        <v>1.8006899999999999</v>
      </c>
      <c r="I166">
        <v>1</v>
      </c>
      <c r="J166">
        <f t="shared" si="10"/>
        <v>1.8006899999999999</v>
      </c>
      <c r="K166">
        <f t="shared" si="11"/>
        <v>1.8006899999999999</v>
      </c>
    </row>
    <row r="167" spans="1:11" x14ac:dyDescent="0.25">
      <c r="B167" s="4">
        <v>45800</v>
      </c>
      <c r="C167" t="s">
        <v>68</v>
      </c>
      <c r="E167" t="s">
        <v>13</v>
      </c>
      <c r="F167" t="s">
        <v>84</v>
      </c>
      <c r="G167" s="2">
        <v>0</v>
      </c>
      <c r="H167">
        <f t="shared" si="12"/>
        <v>1.4482999999999999</v>
      </c>
      <c r="I167">
        <v>41</v>
      </c>
      <c r="J167">
        <f t="shared" si="10"/>
        <v>59.380299999999998</v>
      </c>
      <c r="K167">
        <f t="shared" si="11"/>
        <v>59.380299999999998</v>
      </c>
    </row>
    <row r="168" spans="1:11" x14ac:dyDescent="0.25">
      <c r="B168" s="4">
        <v>45800</v>
      </c>
      <c r="C168" t="s">
        <v>68</v>
      </c>
      <c r="E168" t="s">
        <v>14</v>
      </c>
      <c r="F168" t="s">
        <v>84</v>
      </c>
      <c r="G168" s="2">
        <v>0</v>
      </c>
      <c r="H168">
        <f t="shared" si="12"/>
        <v>1.4482999999999999</v>
      </c>
      <c r="I168">
        <v>41</v>
      </c>
      <c r="J168">
        <f t="shared" si="10"/>
        <v>59.380299999999998</v>
      </c>
      <c r="K168">
        <f t="shared" si="11"/>
        <v>59.380299999999998</v>
      </c>
    </row>
    <row r="169" spans="1:11" x14ac:dyDescent="0.25">
      <c r="B169" s="4">
        <v>45800</v>
      </c>
      <c r="C169" t="s">
        <v>68</v>
      </c>
      <c r="E169" t="s">
        <v>15</v>
      </c>
      <c r="F169" t="s">
        <v>84</v>
      </c>
      <c r="G169" s="2">
        <v>0</v>
      </c>
      <c r="H169">
        <f t="shared" si="12"/>
        <v>1.4482999999999999</v>
      </c>
      <c r="I169">
        <v>41</v>
      </c>
      <c r="J169">
        <f t="shared" si="10"/>
        <v>59.380299999999998</v>
      </c>
      <c r="K169">
        <f t="shared" si="11"/>
        <v>59.380299999999998</v>
      </c>
    </row>
    <row r="170" spans="1:11" x14ac:dyDescent="0.25">
      <c r="B170" s="4">
        <v>45800</v>
      </c>
      <c r="C170" t="s">
        <v>68</v>
      </c>
      <c r="E170" t="s">
        <v>61</v>
      </c>
      <c r="F170" t="s">
        <v>84</v>
      </c>
      <c r="G170" s="2">
        <v>0</v>
      </c>
      <c r="H170">
        <f t="shared" si="12"/>
        <v>1.4482999999999999</v>
      </c>
      <c r="I170">
        <v>41</v>
      </c>
      <c r="J170">
        <f t="shared" si="10"/>
        <v>59.380299999999998</v>
      </c>
      <c r="K170">
        <f t="shared" si="11"/>
        <v>59.380299999999998</v>
      </c>
    </row>
    <row r="171" spans="1:11" x14ac:dyDescent="0.25">
      <c r="B171" s="4">
        <v>45800</v>
      </c>
      <c r="C171" t="s">
        <v>68</v>
      </c>
      <c r="E171" t="s">
        <v>16</v>
      </c>
      <c r="F171" t="s">
        <v>84</v>
      </c>
      <c r="G171" s="2">
        <v>0</v>
      </c>
      <c r="H171">
        <f t="shared" si="12"/>
        <v>1.4482999999999999</v>
      </c>
      <c r="I171">
        <v>41</v>
      </c>
      <c r="J171">
        <f t="shared" si="10"/>
        <v>59.380299999999998</v>
      </c>
      <c r="K171">
        <f t="shared" si="11"/>
        <v>59.380299999999998</v>
      </c>
    </row>
    <row r="172" spans="1:11" x14ac:dyDescent="0.25">
      <c r="B172" s="4">
        <v>45800</v>
      </c>
      <c r="C172" t="s">
        <v>68</v>
      </c>
      <c r="E172" t="s">
        <v>17</v>
      </c>
      <c r="F172" t="s">
        <v>84</v>
      </c>
      <c r="G172" s="2">
        <v>0</v>
      </c>
      <c r="H172">
        <f t="shared" si="12"/>
        <v>1.4482999999999999</v>
      </c>
      <c r="I172">
        <v>41</v>
      </c>
      <c r="J172">
        <f t="shared" si="10"/>
        <v>59.380299999999998</v>
      </c>
      <c r="K172">
        <f t="shared" si="11"/>
        <v>59.380299999999998</v>
      </c>
    </row>
    <row r="173" spans="1:11" x14ac:dyDescent="0.25">
      <c r="B173" s="4">
        <v>45800</v>
      </c>
      <c r="C173" t="s">
        <v>68</v>
      </c>
      <c r="E173" t="s">
        <v>12</v>
      </c>
      <c r="F173" t="s">
        <v>84</v>
      </c>
      <c r="G173" s="2">
        <v>0</v>
      </c>
      <c r="H173">
        <f t="shared" si="12"/>
        <v>1.4482999999999999</v>
      </c>
      <c r="I173">
        <v>41</v>
      </c>
      <c r="J173">
        <f t="shared" si="10"/>
        <v>59.380299999999998</v>
      </c>
      <c r="K173">
        <f t="shared" si="11"/>
        <v>59.380299999999998</v>
      </c>
    </row>
    <row r="174" spans="1:11" x14ac:dyDescent="0.25">
      <c r="B174" s="4">
        <v>45800</v>
      </c>
      <c r="C174" t="s">
        <v>68</v>
      </c>
      <c r="E174" t="s">
        <v>62</v>
      </c>
      <c r="F174" t="s">
        <v>84</v>
      </c>
      <c r="G174" s="2">
        <v>0</v>
      </c>
      <c r="H174">
        <f t="shared" si="12"/>
        <v>1.4482999999999999</v>
      </c>
      <c r="I174">
        <v>41</v>
      </c>
      <c r="J174">
        <f t="shared" si="10"/>
        <v>59.380299999999998</v>
      </c>
      <c r="K174">
        <f t="shared" si="11"/>
        <v>59.380299999999998</v>
      </c>
    </row>
    <row r="175" spans="1:11" x14ac:dyDescent="0.25">
      <c r="A175" s="3"/>
      <c r="B175" s="5">
        <v>45800</v>
      </c>
      <c r="C175" s="3" t="s">
        <v>68</v>
      </c>
      <c r="D175" s="3"/>
      <c r="E175" s="3" t="s">
        <v>18</v>
      </c>
      <c r="F175" t="s">
        <v>84</v>
      </c>
      <c r="G175" s="3"/>
      <c r="H175">
        <f t="shared" si="12"/>
        <v>1.4482999999999999</v>
      </c>
      <c r="I175">
        <v>41</v>
      </c>
      <c r="J175">
        <f t="shared" si="10"/>
        <v>59.380299999999998</v>
      </c>
      <c r="K175">
        <f t="shared" si="11"/>
        <v>59.380299999999998</v>
      </c>
    </row>
    <row r="176" spans="1:11" x14ac:dyDescent="0.25">
      <c r="B176" s="4">
        <v>45800</v>
      </c>
      <c r="C176" t="s">
        <v>68</v>
      </c>
      <c r="E176" t="s">
        <v>19</v>
      </c>
      <c r="F176" t="s">
        <v>84</v>
      </c>
      <c r="G176" s="2">
        <v>0</v>
      </c>
      <c r="H176">
        <f t="shared" si="12"/>
        <v>1.4482999999999999</v>
      </c>
      <c r="I176">
        <v>41</v>
      </c>
      <c r="J176">
        <f t="shared" si="10"/>
        <v>59.380299999999998</v>
      </c>
      <c r="K176">
        <f t="shared" si="11"/>
        <v>59.380299999999998</v>
      </c>
    </row>
    <row r="177" spans="2:11" x14ac:dyDescent="0.25">
      <c r="B177" s="4">
        <v>45800</v>
      </c>
      <c r="C177" t="s">
        <v>68</v>
      </c>
      <c r="E177" t="s">
        <v>20</v>
      </c>
      <c r="F177" t="s">
        <v>84</v>
      </c>
      <c r="G177" s="2">
        <v>0</v>
      </c>
      <c r="H177">
        <f t="shared" si="12"/>
        <v>1.4482999999999999</v>
      </c>
      <c r="I177">
        <v>41</v>
      </c>
      <c r="J177">
        <f t="shared" si="10"/>
        <v>59.380299999999998</v>
      </c>
      <c r="K177">
        <f t="shared" si="11"/>
        <v>59.380299999999998</v>
      </c>
    </row>
    <row r="178" spans="2:11" x14ac:dyDescent="0.25">
      <c r="B178" s="4">
        <v>45800</v>
      </c>
      <c r="C178" t="s">
        <v>68</v>
      </c>
      <c r="E178" t="s">
        <v>63</v>
      </c>
      <c r="F178" t="s">
        <v>84</v>
      </c>
      <c r="G178" s="2">
        <v>2.5000000000000001E-2</v>
      </c>
      <c r="H178">
        <f t="shared" si="12"/>
        <v>10.258049999999999</v>
      </c>
      <c r="I178">
        <v>41</v>
      </c>
      <c r="J178">
        <f t="shared" si="10"/>
        <v>420.58004999999997</v>
      </c>
      <c r="K178">
        <f t="shared" si="11"/>
        <v>420.58004999999997</v>
      </c>
    </row>
    <row r="179" spans="2:11" x14ac:dyDescent="0.25">
      <c r="B179" s="4">
        <v>45800</v>
      </c>
      <c r="C179" t="s">
        <v>68</v>
      </c>
      <c r="E179" t="s">
        <v>21</v>
      </c>
      <c r="F179" t="s">
        <v>84</v>
      </c>
      <c r="G179" s="2">
        <v>4.0000000000000001E-3</v>
      </c>
      <c r="H179">
        <f t="shared" si="12"/>
        <v>2.8578599999999996</v>
      </c>
      <c r="I179">
        <v>41</v>
      </c>
      <c r="J179">
        <f t="shared" si="10"/>
        <v>117.17225999999998</v>
      </c>
      <c r="K179">
        <f t="shared" si="11"/>
        <v>117.17225999999998</v>
      </c>
    </row>
    <row r="180" spans="2:11" x14ac:dyDescent="0.25">
      <c r="B180" s="4">
        <v>45800</v>
      </c>
      <c r="C180" t="s">
        <v>68</v>
      </c>
      <c r="E180" t="s">
        <v>22</v>
      </c>
      <c r="F180" t="s">
        <v>84</v>
      </c>
      <c r="G180" s="2">
        <v>0</v>
      </c>
      <c r="H180">
        <f t="shared" si="12"/>
        <v>1.4482999999999999</v>
      </c>
      <c r="I180">
        <v>41</v>
      </c>
      <c r="J180">
        <f t="shared" si="10"/>
        <v>59.380299999999998</v>
      </c>
      <c r="K180">
        <f t="shared" si="11"/>
        <v>59.380299999999998</v>
      </c>
    </row>
    <row r="181" spans="2:11" x14ac:dyDescent="0.25">
      <c r="B181" s="4">
        <v>45800</v>
      </c>
      <c r="C181" t="s">
        <v>68</v>
      </c>
      <c r="E181" t="s">
        <v>23</v>
      </c>
      <c r="F181" t="s">
        <v>84</v>
      </c>
      <c r="G181" s="2">
        <v>2.5999999999999999E-2</v>
      </c>
      <c r="H181">
        <f t="shared" si="12"/>
        <v>10.610439999999999</v>
      </c>
      <c r="I181">
        <v>41</v>
      </c>
      <c r="J181">
        <f t="shared" si="10"/>
        <v>435.02803999999998</v>
      </c>
      <c r="K181">
        <f t="shared" si="11"/>
        <v>435.02803999999998</v>
      </c>
    </row>
    <row r="182" spans="2:11" x14ac:dyDescent="0.25">
      <c r="B182" s="4">
        <v>45800</v>
      </c>
      <c r="C182" t="s">
        <v>68</v>
      </c>
      <c r="E182" t="s">
        <v>64</v>
      </c>
      <c r="F182" t="s">
        <v>84</v>
      </c>
      <c r="G182" s="2">
        <v>0</v>
      </c>
      <c r="H182">
        <f t="shared" si="12"/>
        <v>1.4482999999999999</v>
      </c>
      <c r="I182">
        <v>41</v>
      </c>
      <c r="J182">
        <f t="shared" si="10"/>
        <v>59.380299999999998</v>
      </c>
      <c r="K182">
        <f t="shared" si="11"/>
        <v>59.380299999999998</v>
      </c>
    </row>
    <row r="183" spans="2:11" x14ac:dyDescent="0.25">
      <c r="B183" s="4">
        <v>45800</v>
      </c>
      <c r="C183" t="s">
        <v>68</v>
      </c>
      <c r="E183" t="s">
        <v>24</v>
      </c>
      <c r="F183" t="s">
        <v>84</v>
      </c>
      <c r="G183" s="2">
        <v>0</v>
      </c>
      <c r="H183">
        <f t="shared" si="12"/>
        <v>1.4482999999999999</v>
      </c>
      <c r="I183">
        <v>41</v>
      </c>
      <c r="J183">
        <f t="shared" si="10"/>
        <v>59.380299999999998</v>
      </c>
      <c r="K183">
        <f t="shared" si="11"/>
        <v>59.380299999999998</v>
      </c>
    </row>
    <row r="184" spans="2:11" x14ac:dyDescent="0.25">
      <c r="B184" s="4">
        <v>45800</v>
      </c>
      <c r="C184" t="s">
        <v>68</v>
      </c>
      <c r="E184" t="s">
        <v>25</v>
      </c>
      <c r="F184" t="s">
        <v>84</v>
      </c>
      <c r="G184" s="2">
        <v>2.3E-2</v>
      </c>
      <c r="H184">
        <f t="shared" si="12"/>
        <v>9.5532699999999995</v>
      </c>
      <c r="I184">
        <v>41</v>
      </c>
      <c r="J184">
        <f t="shared" si="10"/>
        <v>391.68406999999996</v>
      </c>
      <c r="K184">
        <f t="shared" si="11"/>
        <v>391.68406999999996</v>
      </c>
    </row>
    <row r="185" spans="2:11" x14ac:dyDescent="0.25">
      <c r="B185" s="4">
        <v>45800</v>
      </c>
      <c r="C185" t="s">
        <v>68</v>
      </c>
      <c r="E185" t="s">
        <v>26</v>
      </c>
      <c r="F185" t="s">
        <v>84</v>
      </c>
      <c r="G185" s="2">
        <v>1E-3</v>
      </c>
      <c r="H185">
        <f t="shared" si="12"/>
        <v>1.8006899999999999</v>
      </c>
      <c r="I185">
        <v>41</v>
      </c>
      <c r="J185">
        <f t="shared" si="10"/>
        <v>73.828289999999996</v>
      </c>
      <c r="K185">
        <f t="shared" si="11"/>
        <v>73.828289999999996</v>
      </c>
    </row>
    <row r="186" spans="2:11" x14ac:dyDescent="0.25">
      <c r="B186" s="4">
        <v>45800</v>
      </c>
      <c r="C186" t="s">
        <v>68</v>
      </c>
      <c r="E186" t="s">
        <v>65</v>
      </c>
      <c r="F186" t="s">
        <v>84</v>
      </c>
      <c r="G186" s="2">
        <v>0</v>
      </c>
      <c r="H186">
        <f t="shared" si="12"/>
        <v>1.4482999999999999</v>
      </c>
      <c r="I186">
        <v>41</v>
      </c>
      <c r="J186">
        <f t="shared" si="10"/>
        <v>59.380299999999998</v>
      </c>
      <c r="K186">
        <f t="shared" si="11"/>
        <v>59.380299999999998</v>
      </c>
    </row>
    <row r="187" spans="2:11" x14ac:dyDescent="0.25">
      <c r="B187" s="4">
        <v>45800</v>
      </c>
      <c r="C187" t="s">
        <v>68</v>
      </c>
      <c r="E187" t="s">
        <v>27</v>
      </c>
      <c r="F187" t="s">
        <v>84</v>
      </c>
      <c r="G187" s="2">
        <v>0</v>
      </c>
      <c r="H187">
        <f t="shared" si="12"/>
        <v>1.4482999999999999</v>
      </c>
      <c r="I187">
        <v>41</v>
      </c>
      <c r="J187">
        <f t="shared" si="10"/>
        <v>59.380299999999998</v>
      </c>
      <c r="K187">
        <f t="shared" si="11"/>
        <v>59.380299999999998</v>
      </c>
    </row>
    <row r="188" spans="2:11" x14ac:dyDescent="0.25">
      <c r="B188" s="4">
        <v>45800</v>
      </c>
      <c r="C188" t="s">
        <v>68</v>
      </c>
      <c r="E188" t="s">
        <v>28</v>
      </c>
      <c r="F188" t="s">
        <v>84</v>
      </c>
      <c r="G188" s="2">
        <v>0</v>
      </c>
      <c r="H188">
        <f t="shared" si="12"/>
        <v>1.4482999999999999</v>
      </c>
      <c r="I188">
        <v>41</v>
      </c>
      <c r="J188">
        <f t="shared" si="10"/>
        <v>59.380299999999998</v>
      </c>
      <c r="K188">
        <f t="shared" si="11"/>
        <v>59.380299999999998</v>
      </c>
    </row>
    <row r="189" spans="2:11" x14ac:dyDescent="0.25">
      <c r="B189" s="4">
        <v>45800</v>
      </c>
      <c r="C189" t="s">
        <v>68</v>
      </c>
      <c r="E189" t="s">
        <v>29</v>
      </c>
      <c r="F189" t="s">
        <v>84</v>
      </c>
      <c r="G189" s="2">
        <v>0</v>
      </c>
      <c r="H189">
        <f t="shared" si="12"/>
        <v>1.4482999999999999</v>
      </c>
      <c r="I189">
        <v>41</v>
      </c>
      <c r="J189">
        <f t="shared" si="10"/>
        <v>59.380299999999998</v>
      </c>
      <c r="K189">
        <f t="shared" si="11"/>
        <v>59.380299999999998</v>
      </c>
    </row>
    <row r="190" spans="2:11" x14ac:dyDescent="0.25">
      <c r="B190" s="4">
        <v>45800</v>
      </c>
      <c r="C190" t="s">
        <v>68</v>
      </c>
      <c r="E190" t="s">
        <v>66</v>
      </c>
      <c r="F190" t="s">
        <v>84</v>
      </c>
      <c r="G190" s="2">
        <v>0</v>
      </c>
      <c r="H190">
        <f t="shared" si="12"/>
        <v>1.4482999999999999</v>
      </c>
      <c r="I190">
        <v>41</v>
      </c>
      <c r="J190">
        <f t="shared" si="10"/>
        <v>59.380299999999998</v>
      </c>
      <c r="K190">
        <f t="shared" si="11"/>
        <v>59.380299999999998</v>
      </c>
    </row>
    <row r="191" spans="2:11" x14ac:dyDescent="0.25">
      <c r="B191" s="4">
        <v>45800</v>
      </c>
      <c r="C191" t="s">
        <v>68</v>
      </c>
      <c r="D191" t="s">
        <v>67</v>
      </c>
      <c r="E191">
        <v>1</v>
      </c>
      <c r="F191" t="s">
        <v>84</v>
      </c>
      <c r="G191" s="2">
        <v>5.0000000000000001E-3</v>
      </c>
      <c r="H191">
        <f t="shared" si="12"/>
        <v>3.2102499999999998</v>
      </c>
      <c r="I191">
        <v>1</v>
      </c>
      <c r="J191">
        <f t="shared" si="10"/>
        <v>3.2102499999999998</v>
      </c>
      <c r="K191">
        <f t="shared" si="11"/>
        <v>3.2102499999999998</v>
      </c>
    </row>
    <row r="192" spans="2:11" x14ac:dyDescent="0.25">
      <c r="B192" s="4">
        <v>45800</v>
      </c>
      <c r="C192" t="s">
        <v>68</v>
      </c>
      <c r="D192" t="s">
        <v>67</v>
      </c>
      <c r="E192">
        <v>2</v>
      </c>
      <c r="F192" t="s">
        <v>84</v>
      </c>
      <c r="G192" s="2">
        <v>5.0000000000000001E-3</v>
      </c>
      <c r="H192">
        <f t="shared" si="12"/>
        <v>3.2102499999999998</v>
      </c>
      <c r="I192">
        <v>1</v>
      </c>
      <c r="J192">
        <f t="shared" si="10"/>
        <v>3.2102499999999998</v>
      </c>
      <c r="K192">
        <f t="shared" si="11"/>
        <v>3.2102499999999998</v>
      </c>
    </row>
    <row r="193" spans="2:11" x14ac:dyDescent="0.25">
      <c r="B193" s="4">
        <v>45800</v>
      </c>
      <c r="C193" t="s">
        <v>68</v>
      </c>
      <c r="D193" t="s">
        <v>67</v>
      </c>
      <c r="E193">
        <v>3</v>
      </c>
      <c r="F193" t="s">
        <v>84</v>
      </c>
      <c r="G193" s="2">
        <v>0</v>
      </c>
      <c r="H193">
        <f t="shared" si="12"/>
        <v>1.4482999999999999</v>
      </c>
      <c r="I193">
        <v>1</v>
      </c>
      <c r="J193">
        <f t="shared" si="10"/>
        <v>1.4482999999999999</v>
      </c>
      <c r="K193">
        <f t="shared" si="11"/>
        <v>1.4482999999999999</v>
      </c>
    </row>
    <row r="194" spans="2:11" x14ac:dyDescent="0.25">
      <c r="B194" s="4">
        <v>45800</v>
      </c>
      <c r="C194" t="s">
        <v>34</v>
      </c>
      <c r="E194" t="s">
        <v>13</v>
      </c>
      <c r="F194" t="s">
        <v>84</v>
      </c>
      <c r="G194" s="2">
        <v>0</v>
      </c>
      <c r="H194">
        <f t="shared" si="12"/>
        <v>1.4482999999999999</v>
      </c>
      <c r="I194">
        <v>41</v>
      </c>
      <c r="J194">
        <f t="shared" ref="J194:J257" si="13">H194*I194</f>
        <v>59.380299999999998</v>
      </c>
      <c r="K194">
        <f t="shared" si="11"/>
        <v>59.380299999999998</v>
      </c>
    </row>
    <row r="195" spans="2:11" x14ac:dyDescent="0.25">
      <c r="B195" s="4">
        <v>45800</v>
      </c>
      <c r="C195" t="s">
        <v>34</v>
      </c>
      <c r="E195" t="s">
        <v>14</v>
      </c>
      <c r="F195" t="s">
        <v>84</v>
      </c>
      <c r="G195" s="2">
        <v>0</v>
      </c>
      <c r="H195">
        <f t="shared" si="12"/>
        <v>1.4482999999999999</v>
      </c>
      <c r="I195">
        <v>41</v>
      </c>
      <c r="J195">
        <f t="shared" si="13"/>
        <v>59.380299999999998</v>
      </c>
      <c r="K195">
        <f t="shared" ref="K195:K258" si="14">MAX(J195,0)</f>
        <v>59.380299999999998</v>
      </c>
    </row>
    <row r="196" spans="2:11" x14ac:dyDescent="0.25">
      <c r="B196" s="4">
        <v>45800</v>
      </c>
      <c r="C196" t="s">
        <v>34</v>
      </c>
      <c r="E196" t="s">
        <v>15</v>
      </c>
      <c r="F196" t="s">
        <v>84</v>
      </c>
      <c r="G196" s="2">
        <v>0</v>
      </c>
      <c r="H196">
        <f t="shared" si="12"/>
        <v>1.4482999999999999</v>
      </c>
      <c r="I196">
        <v>41</v>
      </c>
      <c r="J196">
        <f t="shared" si="13"/>
        <v>59.380299999999998</v>
      </c>
      <c r="K196">
        <f t="shared" si="14"/>
        <v>59.380299999999998</v>
      </c>
    </row>
    <row r="197" spans="2:11" x14ac:dyDescent="0.25">
      <c r="B197" s="4">
        <v>45800</v>
      </c>
      <c r="C197" t="s">
        <v>34</v>
      </c>
      <c r="E197" t="s">
        <v>61</v>
      </c>
      <c r="F197" t="s">
        <v>84</v>
      </c>
      <c r="G197" s="2">
        <v>0</v>
      </c>
      <c r="H197">
        <f t="shared" si="12"/>
        <v>1.4482999999999999</v>
      </c>
      <c r="I197">
        <v>41</v>
      </c>
      <c r="J197">
        <f t="shared" si="13"/>
        <v>59.380299999999998</v>
      </c>
      <c r="K197">
        <f t="shared" si="14"/>
        <v>59.380299999999998</v>
      </c>
    </row>
    <row r="198" spans="2:11" x14ac:dyDescent="0.25">
      <c r="B198" s="4">
        <v>45800</v>
      </c>
      <c r="C198" t="s">
        <v>34</v>
      </c>
      <c r="E198" t="s">
        <v>16</v>
      </c>
      <c r="F198" t="s">
        <v>84</v>
      </c>
      <c r="G198" s="2">
        <v>8.0000000000000002E-3</v>
      </c>
      <c r="H198">
        <f t="shared" si="12"/>
        <v>4.2674199999999995</v>
      </c>
      <c r="I198">
        <v>41</v>
      </c>
      <c r="J198">
        <f t="shared" si="13"/>
        <v>174.96421999999998</v>
      </c>
      <c r="K198">
        <f t="shared" si="14"/>
        <v>174.96421999999998</v>
      </c>
    </row>
    <row r="199" spans="2:11" x14ac:dyDescent="0.25">
      <c r="B199" s="4">
        <v>45800</v>
      </c>
      <c r="C199" t="s">
        <v>34</v>
      </c>
      <c r="E199" t="s">
        <v>17</v>
      </c>
      <c r="F199" t="s">
        <v>84</v>
      </c>
      <c r="G199" s="2">
        <v>0</v>
      </c>
      <c r="H199">
        <f t="shared" si="12"/>
        <v>1.4482999999999999</v>
      </c>
      <c r="I199">
        <v>41</v>
      </c>
      <c r="J199">
        <f t="shared" si="13"/>
        <v>59.380299999999998</v>
      </c>
      <c r="K199">
        <f t="shared" si="14"/>
        <v>59.380299999999998</v>
      </c>
    </row>
    <row r="200" spans="2:11" x14ac:dyDescent="0.25">
      <c r="B200" s="4">
        <v>45800</v>
      </c>
      <c r="C200" t="s">
        <v>34</v>
      </c>
      <c r="E200" t="s">
        <v>12</v>
      </c>
      <c r="F200" t="s">
        <v>84</v>
      </c>
      <c r="G200" s="2">
        <v>0</v>
      </c>
      <c r="H200">
        <f t="shared" si="12"/>
        <v>1.4482999999999999</v>
      </c>
      <c r="I200">
        <v>41</v>
      </c>
      <c r="J200">
        <f t="shared" si="13"/>
        <v>59.380299999999998</v>
      </c>
      <c r="K200">
        <f t="shared" si="14"/>
        <v>59.380299999999998</v>
      </c>
    </row>
    <row r="201" spans="2:11" x14ac:dyDescent="0.25">
      <c r="B201" s="4">
        <v>45800</v>
      </c>
      <c r="C201" t="s">
        <v>34</v>
      </c>
      <c r="E201" t="s">
        <v>62</v>
      </c>
      <c r="F201" t="s">
        <v>84</v>
      </c>
      <c r="G201" s="2">
        <v>0</v>
      </c>
      <c r="H201">
        <f t="shared" si="12"/>
        <v>1.4482999999999999</v>
      </c>
      <c r="I201">
        <v>41</v>
      </c>
      <c r="J201">
        <f t="shared" si="13"/>
        <v>59.380299999999998</v>
      </c>
      <c r="K201">
        <f t="shared" si="14"/>
        <v>59.380299999999998</v>
      </c>
    </row>
    <row r="202" spans="2:11" x14ac:dyDescent="0.25">
      <c r="B202" s="4">
        <v>45800</v>
      </c>
      <c r="C202" t="s">
        <v>34</v>
      </c>
      <c r="E202" t="s">
        <v>18</v>
      </c>
      <c r="F202" t="s">
        <v>84</v>
      </c>
      <c r="G202" s="2">
        <v>1E-3</v>
      </c>
      <c r="H202">
        <f t="shared" si="12"/>
        <v>1.8006899999999999</v>
      </c>
      <c r="I202">
        <v>41</v>
      </c>
      <c r="J202">
        <f t="shared" si="13"/>
        <v>73.828289999999996</v>
      </c>
      <c r="K202">
        <f t="shared" si="14"/>
        <v>73.828289999999996</v>
      </c>
    </row>
    <row r="203" spans="2:11" x14ac:dyDescent="0.25">
      <c r="B203" s="4">
        <v>45800</v>
      </c>
      <c r="C203" t="s">
        <v>34</v>
      </c>
      <c r="E203" t="s">
        <v>19</v>
      </c>
      <c r="F203" t="s">
        <v>84</v>
      </c>
      <c r="G203" s="2">
        <v>0</v>
      </c>
      <c r="H203">
        <f t="shared" si="12"/>
        <v>1.4482999999999999</v>
      </c>
      <c r="I203">
        <v>41</v>
      </c>
      <c r="J203">
        <f t="shared" si="13"/>
        <v>59.380299999999998</v>
      </c>
      <c r="K203">
        <f t="shared" si="14"/>
        <v>59.380299999999998</v>
      </c>
    </row>
    <row r="204" spans="2:11" x14ac:dyDescent="0.25">
      <c r="B204" s="4">
        <v>45800</v>
      </c>
      <c r="C204" t="s">
        <v>34</v>
      </c>
      <c r="E204" t="s">
        <v>20</v>
      </c>
      <c r="F204" t="s">
        <v>84</v>
      </c>
      <c r="G204" s="2">
        <v>0</v>
      </c>
      <c r="H204">
        <f t="shared" si="12"/>
        <v>1.4482999999999999</v>
      </c>
      <c r="I204">
        <v>41</v>
      </c>
      <c r="J204">
        <f t="shared" si="13"/>
        <v>59.380299999999998</v>
      </c>
      <c r="K204">
        <f t="shared" si="14"/>
        <v>59.380299999999998</v>
      </c>
    </row>
    <row r="205" spans="2:11" x14ac:dyDescent="0.25">
      <c r="B205" s="4">
        <v>45800</v>
      </c>
      <c r="C205" t="s">
        <v>34</v>
      </c>
      <c r="E205" t="s">
        <v>63</v>
      </c>
      <c r="F205" t="s">
        <v>84</v>
      </c>
      <c r="G205" s="2">
        <v>0</v>
      </c>
      <c r="H205">
        <f t="shared" ref="H205:H268" si="15">(352.39*G205)+1.4483</f>
        <v>1.4482999999999999</v>
      </c>
      <c r="I205">
        <v>41</v>
      </c>
      <c r="J205">
        <f t="shared" si="13"/>
        <v>59.380299999999998</v>
      </c>
      <c r="K205">
        <f t="shared" si="14"/>
        <v>59.380299999999998</v>
      </c>
    </row>
    <row r="206" spans="2:11" x14ac:dyDescent="0.25">
      <c r="B206" s="4">
        <v>45800</v>
      </c>
      <c r="C206" t="s">
        <v>34</v>
      </c>
      <c r="E206" t="s">
        <v>21</v>
      </c>
      <c r="F206" t="s">
        <v>84</v>
      </c>
      <c r="G206" s="2">
        <v>2.1000000000000001E-2</v>
      </c>
      <c r="H206">
        <f t="shared" si="15"/>
        <v>8.84849</v>
      </c>
      <c r="I206">
        <v>41</v>
      </c>
      <c r="J206">
        <f t="shared" si="13"/>
        <v>362.78809000000001</v>
      </c>
      <c r="K206">
        <f t="shared" si="14"/>
        <v>362.78809000000001</v>
      </c>
    </row>
    <row r="207" spans="2:11" x14ac:dyDescent="0.25">
      <c r="B207" s="4">
        <v>45800</v>
      </c>
      <c r="C207" t="s">
        <v>34</v>
      </c>
      <c r="E207" t="s">
        <v>22</v>
      </c>
      <c r="F207" t="s">
        <v>84</v>
      </c>
      <c r="G207" s="2">
        <v>6.0000000000000001E-3</v>
      </c>
      <c r="H207">
        <f t="shared" si="15"/>
        <v>3.56264</v>
      </c>
      <c r="I207">
        <v>41</v>
      </c>
      <c r="J207">
        <f t="shared" si="13"/>
        <v>146.06824</v>
      </c>
      <c r="K207">
        <f t="shared" si="14"/>
        <v>146.06824</v>
      </c>
    </row>
    <row r="208" spans="2:11" x14ac:dyDescent="0.25">
      <c r="B208" s="4">
        <v>45800</v>
      </c>
      <c r="C208" t="s">
        <v>34</v>
      </c>
      <c r="E208" t="s">
        <v>23</v>
      </c>
      <c r="F208" t="s">
        <v>84</v>
      </c>
      <c r="G208" s="2">
        <v>7.0000000000000001E-3</v>
      </c>
      <c r="H208">
        <f t="shared" si="15"/>
        <v>3.9150299999999998</v>
      </c>
      <c r="I208">
        <v>41</v>
      </c>
      <c r="J208">
        <f t="shared" si="13"/>
        <v>160.51622999999998</v>
      </c>
      <c r="K208">
        <f t="shared" si="14"/>
        <v>160.51622999999998</v>
      </c>
    </row>
    <row r="209" spans="2:11" x14ac:dyDescent="0.25">
      <c r="B209" s="4">
        <v>45800</v>
      </c>
      <c r="C209" t="s">
        <v>34</v>
      </c>
      <c r="E209" t="s">
        <v>64</v>
      </c>
      <c r="F209" t="s">
        <v>84</v>
      </c>
      <c r="G209" s="2">
        <v>8.9999999999999993E-3</v>
      </c>
      <c r="H209">
        <f t="shared" si="15"/>
        <v>4.6198099999999993</v>
      </c>
      <c r="I209">
        <v>41</v>
      </c>
      <c r="J209">
        <f t="shared" si="13"/>
        <v>189.41220999999996</v>
      </c>
      <c r="K209">
        <f t="shared" si="14"/>
        <v>189.41220999999996</v>
      </c>
    </row>
    <row r="210" spans="2:11" x14ac:dyDescent="0.25">
      <c r="B210" s="4">
        <v>45800</v>
      </c>
      <c r="C210" t="s">
        <v>34</v>
      </c>
      <c r="E210" t="s">
        <v>24</v>
      </c>
      <c r="F210" t="s">
        <v>84</v>
      </c>
      <c r="G210" s="2">
        <v>5.0000000000000001E-3</v>
      </c>
      <c r="H210">
        <f t="shared" si="15"/>
        <v>3.2102499999999998</v>
      </c>
      <c r="I210">
        <v>41</v>
      </c>
      <c r="J210">
        <f t="shared" si="13"/>
        <v>131.62025</v>
      </c>
      <c r="K210">
        <f t="shared" si="14"/>
        <v>131.62025</v>
      </c>
    </row>
    <row r="211" spans="2:11" x14ac:dyDescent="0.25">
      <c r="B211" s="4">
        <v>45800</v>
      </c>
      <c r="C211" t="s">
        <v>34</v>
      </c>
      <c r="E211" t="s">
        <v>25</v>
      </c>
      <c r="F211" t="s">
        <v>84</v>
      </c>
      <c r="G211" s="2">
        <v>2E-3</v>
      </c>
      <c r="H211">
        <f t="shared" si="15"/>
        <v>2.1530800000000001</v>
      </c>
      <c r="I211">
        <v>41</v>
      </c>
      <c r="J211">
        <f t="shared" si="13"/>
        <v>88.27628</v>
      </c>
      <c r="K211">
        <f t="shared" si="14"/>
        <v>88.27628</v>
      </c>
    </row>
    <row r="212" spans="2:11" x14ac:dyDescent="0.25">
      <c r="B212" s="4">
        <v>45800</v>
      </c>
      <c r="C212" t="s">
        <v>34</v>
      </c>
      <c r="E212" t="s">
        <v>26</v>
      </c>
      <c r="F212" t="s">
        <v>84</v>
      </c>
      <c r="G212" s="2">
        <v>3.0000000000000001E-3</v>
      </c>
      <c r="H212">
        <f t="shared" si="15"/>
        <v>2.5054699999999999</v>
      </c>
      <c r="I212">
        <v>41</v>
      </c>
      <c r="J212">
        <f t="shared" si="13"/>
        <v>102.72426999999999</v>
      </c>
      <c r="K212">
        <f t="shared" si="14"/>
        <v>102.72426999999999</v>
      </c>
    </row>
    <row r="213" spans="2:11" x14ac:dyDescent="0.25">
      <c r="B213" s="4">
        <v>45800</v>
      </c>
      <c r="C213" t="s">
        <v>34</v>
      </c>
      <c r="E213" t="s">
        <v>65</v>
      </c>
      <c r="F213" t="s">
        <v>84</v>
      </c>
      <c r="G213" s="2">
        <v>0.02</v>
      </c>
      <c r="H213">
        <f t="shared" si="15"/>
        <v>8.4961000000000002</v>
      </c>
      <c r="I213">
        <v>41</v>
      </c>
      <c r="J213">
        <f t="shared" si="13"/>
        <v>348.34010000000001</v>
      </c>
      <c r="K213">
        <f t="shared" si="14"/>
        <v>348.34010000000001</v>
      </c>
    </row>
    <row r="214" spans="2:11" x14ac:dyDescent="0.25">
      <c r="B214" s="4">
        <v>45800</v>
      </c>
      <c r="C214" t="s">
        <v>34</v>
      </c>
      <c r="E214" t="s">
        <v>27</v>
      </c>
      <c r="F214" t="s">
        <v>84</v>
      </c>
      <c r="G214" s="2">
        <v>1.0999999999999999E-2</v>
      </c>
      <c r="H214">
        <f t="shared" si="15"/>
        <v>5.3245899999999997</v>
      </c>
      <c r="I214">
        <v>41</v>
      </c>
      <c r="J214">
        <f t="shared" si="13"/>
        <v>218.30819</v>
      </c>
      <c r="K214">
        <f t="shared" si="14"/>
        <v>218.30819</v>
      </c>
    </row>
    <row r="215" spans="2:11" x14ac:dyDescent="0.25">
      <c r="B215" s="4">
        <v>45800</v>
      </c>
      <c r="C215" t="s">
        <v>34</v>
      </c>
      <c r="E215" t="s">
        <v>28</v>
      </c>
      <c r="F215" t="s">
        <v>84</v>
      </c>
      <c r="G215" s="2">
        <v>0</v>
      </c>
      <c r="H215">
        <f t="shared" si="15"/>
        <v>1.4482999999999999</v>
      </c>
      <c r="I215">
        <v>41</v>
      </c>
      <c r="J215">
        <f t="shared" si="13"/>
        <v>59.380299999999998</v>
      </c>
      <c r="K215">
        <f t="shared" si="14"/>
        <v>59.380299999999998</v>
      </c>
    </row>
    <row r="216" spans="2:11" x14ac:dyDescent="0.25">
      <c r="B216" s="4">
        <v>45800</v>
      </c>
      <c r="C216" t="s">
        <v>34</v>
      </c>
      <c r="E216" t="s">
        <v>29</v>
      </c>
      <c r="F216" t="s">
        <v>84</v>
      </c>
      <c r="G216" s="2">
        <v>3.5000000000000003E-2</v>
      </c>
      <c r="H216">
        <f t="shared" si="15"/>
        <v>13.78195</v>
      </c>
      <c r="I216">
        <v>41</v>
      </c>
      <c r="J216">
        <f t="shared" si="13"/>
        <v>565.05994999999996</v>
      </c>
      <c r="K216">
        <f t="shared" si="14"/>
        <v>565.05994999999996</v>
      </c>
    </row>
    <row r="217" spans="2:11" x14ac:dyDescent="0.25">
      <c r="B217" s="4">
        <v>45800</v>
      </c>
      <c r="C217" t="s">
        <v>34</v>
      </c>
      <c r="E217" t="s">
        <v>66</v>
      </c>
      <c r="F217" t="s">
        <v>84</v>
      </c>
      <c r="G217" s="2">
        <v>0</v>
      </c>
      <c r="H217">
        <f t="shared" si="15"/>
        <v>1.4482999999999999</v>
      </c>
      <c r="I217">
        <v>41</v>
      </c>
      <c r="J217">
        <f t="shared" si="13"/>
        <v>59.380299999999998</v>
      </c>
      <c r="K217">
        <f t="shared" si="14"/>
        <v>59.380299999999998</v>
      </c>
    </row>
    <row r="218" spans="2:11" x14ac:dyDescent="0.25">
      <c r="B218" s="4">
        <v>45800</v>
      </c>
      <c r="C218" t="s">
        <v>34</v>
      </c>
      <c r="D218" t="s">
        <v>67</v>
      </c>
      <c r="E218">
        <v>1</v>
      </c>
      <c r="F218" t="s">
        <v>84</v>
      </c>
      <c r="G218" s="2">
        <v>5.8999999999999997E-2</v>
      </c>
      <c r="H218">
        <f t="shared" si="15"/>
        <v>22.239309999999996</v>
      </c>
      <c r="I218">
        <v>1</v>
      </c>
      <c r="J218">
        <f t="shared" si="13"/>
        <v>22.239309999999996</v>
      </c>
      <c r="K218">
        <f t="shared" si="14"/>
        <v>22.239309999999996</v>
      </c>
    </row>
    <row r="219" spans="2:11" x14ac:dyDescent="0.25">
      <c r="B219" s="4">
        <v>45800</v>
      </c>
      <c r="C219" t="s">
        <v>34</v>
      </c>
      <c r="D219" t="s">
        <v>67</v>
      </c>
      <c r="E219">
        <v>2</v>
      </c>
      <c r="F219" t="s">
        <v>84</v>
      </c>
      <c r="G219" s="2">
        <v>3.5000000000000003E-2</v>
      </c>
      <c r="H219">
        <f t="shared" si="15"/>
        <v>13.78195</v>
      </c>
      <c r="I219">
        <v>1</v>
      </c>
      <c r="J219">
        <f t="shared" si="13"/>
        <v>13.78195</v>
      </c>
      <c r="K219">
        <f t="shared" si="14"/>
        <v>13.78195</v>
      </c>
    </row>
    <row r="220" spans="2:11" x14ac:dyDescent="0.25">
      <c r="B220" s="4">
        <v>45800</v>
      </c>
      <c r="C220" t="s">
        <v>34</v>
      </c>
      <c r="D220" t="s">
        <v>67</v>
      </c>
      <c r="E220">
        <v>3</v>
      </c>
      <c r="F220" t="s">
        <v>84</v>
      </c>
      <c r="G220" s="2">
        <v>2.5999999999999999E-2</v>
      </c>
      <c r="H220">
        <f t="shared" si="15"/>
        <v>10.610439999999999</v>
      </c>
      <c r="I220">
        <v>1</v>
      </c>
      <c r="J220">
        <f t="shared" si="13"/>
        <v>10.610439999999999</v>
      </c>
      <c r="K220">
        <f t="shared" si="14"/>
        <v>10.610439999999999</v>
      </c>
    </row>
    <row r="221" spans="2:11" x14ac:dyDescent="0.25">
      <c r="B221" s="4">
        <v>45801</v>
      </c>
      <c r="C221" t="s">
        <v>70</v>
      </c>
      <c r="E221" t="s">
        <v>13</v>
      </c>
      <c r="F221" t="s">
        <v>84</v>
      </c>
      <c r="G221" s="2">
        <v>3.0000000000000001E-3</v>
      </c>
      <c r="H221">
        <f t="shared" si="15"/>
        <v>2.5054699999999999</v>
      </c>
      <c r="I221">
        <v>41</v>
      </c>
      <c r="J221">
        <f t="shared" si="13"/>
        <v>102.72426999999999</v>
      </c>
      <c r="K221">
        <f t="shared" si="14"/>
        <v>102.72426999999999</v>
      </c>
    </row>
    <row r="222" spans="2:11" x14ac:dyDescent="0.25">
      <c r="B222" s="4">
        <v>45801</v>
      </c>
      <c r="C222" t="s">
        <v>70</v>
      </c>
      <c r="E222" t="s">
        <v>14</v>
      </c>
      <c r="F222" t="s">
        <v>84</v>
      </c>
      <c r="G222" s="2">
        <v>7.0000000000000001E-3</v>
      </c>
      <c r="H222">
        <f t="shared" si="15"/>
        <v>3.9150299999999998</v>
      </c>
      <c r="I222">
        <v>41</v>
      </c>
      <c r="J222">
        <f t="shared" si="13"/>
        <v>160.51622999999998</v>
      </c>
      <c r="K222">
        <f t="shared" si="14"/>
        <v>160.51622999999998</v>
      </c>
    </row>
    <row r="223" spans="2:11" x14ac:dyDescent="0.25">
      <c r="B223" s="4">
        <v>45801</v>
      </c>
      <c r="C223" t="s">
        <v>70</v>
      </c>
      <c r="E223" t="s">
        <v>15</v>
      </c>
      <c r="F223" t="s">
        <v>84</v>
      </c>
      <c r="G223" s="2">
        <v>4.0000000000000001E-3</v>
      </c>
      <c r="H223">
        <f t="shared" si="15"/>
        <v>2.8578599999999996</v>
      </c>
      <c r="I223">
        <v>41</v>
      </c>
      <c r="J223">
        <f t="shared" si="13"/>
        <v>117.17225999999998</v>
      </c>
      <c r="K223">
        <f t="shared" si="14"/>
        <v>117.17225999999998</v>
      </c>
    </row>
    <row r="224" spans="2:11" x14ac:dyDescent="0.25">
      <c r="B224" s="4">
        <v>45801</v>
      </c>
      <c r="C224" t="s">
        <v>70</v>
      </c>
      <c r="E224" t="s">
        <v>61</v>
      </c>
      <c r="F224" t="s">
        <v>84</v>
      </c>
      <c r="G224" s="2">
        <v>2.4E-2</v>
      </c>
      <c r="H224">
        <f t="shared" si="15"/>
        <v>9.9056599999999992</v>
      </c>
      <c r="I224">
        <v>41</v>
      </c>
      <c r="J224">
        <f t="shared" si="13"/>
        <v>406.13205999999997</v>
      </c>
      <c r="K224">
        <f t="shared" si="14"/>
        <v>406.13205999999997</v>
      </c>
    </row>
    <row r="225" spans="2:11" x14ac:dyDescent="0.25">
      <c r="B225" s="4">
        <v>45801</v>
      </c>
      <c r="C225" t="s">
        <v>70</v>
      </c>
      <c r="E225" t="s">
        <v>16</v>
      </c>
      <c r="F225" t="s">
        <v>84</v>
      </c>
      <c r="G225" s="2">
        <v>2.1000000000000001E-2</v>
      </c>
      <c r="H225">
        <f t="shared" si="15"/>
        <v>8.84849</v>
      </c>
      <c r="I225">
        <v>41</v>
      </c>
      <c r="J225">
        <f t="shared" si="13"/>
        <v>362.78809000000001</v>
      </c>
      <c r="K225">
        <f t="shared" si="14"/>
        <v>362.78809000000001</v>
      </c>
    </row>
    <row r="226" spans="2:11" x14ac:dyDescent="0.25">
      <c r="B226" s="4">
        <v>45801</v>
      </c>
      <c r="C226" t="s">
        <v>70</v>
      </c>
      <c r="E226" t="s">
        <v>17</v>
      </c>
      <c r="F226" t="s">
        <v>84</v>
      </c>
      <c r="G226" s="2">
        <v>1E-3</v>
      </c>
      <c r="H226">
        <f t="shared" si="15"/>
        <v>1.8006899999999999</v>
      </c>
      <c r="I226">
        <v>41</v>
      </c>
      <c r="J226">
        <f t="shared" si="13"/>
        <v>73.828289999999996</v>
      </c>
      <c r="K226">
        <f t="shared" si="14"/>
        <v>73.828289999999996</v>
      </c>
    </row>
    <row r="227" spans="2:11" x14ac:dyDescent="0.25">
      <c r="B227" s="4">
        <v>45801</v>
      </c>
      <c r="C227" t="s">
        <v>70</v>
      </c>
      <c r="E227" t="s">
        <v>12</v>
      </c>
      <c r="F227" t="s">
        <v>84</v>
      </c>
      <c r="G227" s="2">
        <v>1.2E-2</v>
      </c>
      <c r="H227">
        <f t="shared" si="15"/>
        <v>5.6769799999999995</v>
      </c>
      <c r="I227">
        <v>41</v>
      </c>
      <c r="J227">
        <f t="shared" si="13"/>
        <v>232.75617999999997</v>
      </c>
      <c r="K227">
        <f t="shared" si="14"/>
        <v>232.75617999999997</v>
      </c>
    </row>
    <row r="228" spans="2:11" x14ac:dyDescent="0.25">
      <c r="B228" s="4">
        <v>45801</v>
      </c>
      <c r="C228" t="s">
        <v>70</v>
      </c>
      <c r="E228" t="s">
        <v>62</v>
      </c>
      <c r="F228" t="s">
        <v>84</v>
      </c>
      <c r="G228" s="2">
        <v>0</v>
      </c>
      <c r="H228">
        <f t="shared" si="15"/>
        <v>1.4482999999999999</v>
      </c>
      <c r="I228">
        <v>41</v>
      </c>
      <c r="J228">
        <f t="shared" si="13"/>
        <v>59.380299999999998</v>
      </c>
      <c r="K228">
        <f t="shared" si="14"/>
        <v>59.380299999999998</v>
      </c>
    </row>
    <row r="229" spans="2:11" x14ac:dyDescent="0.25">
      <c r="B229" s="4">
        <v>45801</v>
      </c>
      <c r="C229" t="s">
        <v>70</v>
      </c>
      <c r="E229" t="s">
        <v>18</v>
      </c>
      <c r="F229" t="s">
        <v>84</v>
      </c>
      <c r="G229" s="2">
        <v>0</v>
      </c>
      <c r="H229">
        <f t="shared" si="15"/>
        <v>1.4482999999999999</v>
      </c>
      <c r="I229">
        <v>41</v>
      </c>
      <c r="J229">
        <f t="shared" si="13"/>
        <v>59.380299999999998</v>
      </c>
      <c r="K229">
        <f t="shared" si="14"/>
        <v>59.380299999999998</v>
      </c>
    </row>
    <row r="230" spans="2:11" x14ac:dyDescent="0.25">
      <c r="B230" s="4">
        <v>45801</v>
      </c>
      <c r="C230" t="s">
        <v>70</v>
      </c>
      <c r="E230" t="s">
        <v>19</v>
      </c>
      <c r="F230" t="s">
        <v>84</v>
      </c>
      <c r="G230" s="2">
        <v>0</v>
      </c>
      <c r="H230">
        <f t="shared" si="15"/>
        <v>1.4482999999999999</v>
      </c>
      <c r="I230">
        <v>41</v>
      </c>
      <c r="J230">
        <f t="shared" si="13"/>
        <v>59.380299999999998</v>
      </c>
      <c r="K230">
        <f t="shared" si="14"/>
        <v>59.380299999999998</v>
      </c>
    </row>
    <row r="231" spans="2:11" x14ac:dyDescent="0.25">
      <c r="B231" s="4">
        <v>45801</v>
      </c>
      <c r="C231" t="s">
        <v>70</v>
      </c>
      <c r="E231" t="s">
        <v>20</v>
      </c>
      <c r="F231" t="s">
        <v>84</v>
      </c>
      <c r="G231" s="2">
        <v>0</v>
      </c>
      <c r="H231">
        <f t="shared" si="15"/>
        <v>1.4482999999999999</v>
      </c>
      <c r="I231">
        <v>41</v>
      </c>
      <c r="J231">
        <f t="shared" si="13"/>
        <v>59.380299999999998</v>
      </c>
      <c r="K231">
        <f t="shared" si="14"/>
        <v>59.380299999999998</v>
      </c>
    </row>
    <row r="232" spans="2:11" x14ac:dyDescent="0.25">
      <c r="B232" s="4">
        <v>45801</v>
      </c>
      <c r="C232" t="s">
        <v>70</v>
      </c>
      <c r="E232" t="s">
        <v>63</v>
      </c>
      <c r="F232" t="s">
        <v>84</v>
      </c>
      <c r="G232" s="2">
        <v>0</v>
      </c>
      <c r="H232">
        <f t="shared" si="15"/>
        <v>1.4482999999999999</v>
      </c>
      <c r="I232">
        <v>41</v>
      </c>
      <c r="J232">
        <f t="shared" si="13"/>
        <v>59.380299999999998</v>
      </c>
      <c r="K232">
        <f t="shared" si="14"/>
        <v>59.380299999999998</v>
      </c>
    </row>
    <row r="233" spans="2:11" x14ac:dyDescent="0.25">
      <c r="B233" s="4">
        <v>45801</v>
      </c>
      <c r="C233" t="s">
        <v>70</v>
      </c>
      <c r="E233" t="s">
        <v>21</v>
      </c>
      <c r="F233" t="s">
        <v>84</v>
      </c>
      <c r="G233" s="2">
        <v>1E-3</v>
      </c>
      <c r="H233">
        <f t="shared" si="15"/>
        <v>1.8006899999999999</v>
      </c>
      <c r="I233">
        <v>41</v>
      </c>
      <c r="J233">
        <f t="shared" si="13"/>
        <v>73.828289999999996</v>
      </c>
      <c r="K233">
        <f t="shared" si="14"/>
        <v>73.828289999999996</v>
      </c>
    </row>
    <row r="234" spans="2:11" x14ac:dyDescent="0.25">
      <c r="B234" s="4">
        <v>45801</v>
      </c>
      <c r="C234" t="s">
        <v>70</v>
      </c>
      <c r="E234" t="s">
        <v>22</v>
      </c>
      <c r="F234" t="s">
        <v>84</v>
      </c>
      <c r="G234" s="2">
        <v>0</v>
      </c>
      <c r="H234">
        <f t="shared" si="15"/>
        <v>1.4482999999999999</v>
      </c>
      <c r="I234">
        <v>41</v>
      </c>
      <c r="J234">
        <f t="shared" si="13"/>
        <v>59.380299999999998</v>
      </c>
      <c r="K234">
        <f t="shared" si="14"/>
        <v>59.380299999999998</v>
      </c>
    </row>
    <row r="235" spans="2:11" x14ac:dyDescent="0.25">
      <c r="B235" s="4">
        <v>45801</v>
      </c>
      <c r="C235" t="s">
        <v>70</v>
      </c>
      <c r="E235" t="s">
        <v>23</v>
      </c>
      <c r="F235" t="s">
        <v>84</v>
      </c>
      <c r="G235" s="2">
        <v>5.0000000000000001E-3</v>
      </c>
      <c r="H235">
        <f t="shared" si="15"/>
        <v>3.2102499999999998</v>
      </c>
      <c r="I235">
        <v>41</v>
      </c>
      <c r="J235">
        <f t="shared" si="13"/>
        <v>131.62025</v>
      </c>
      <c r="K235">
        <f t="shared" si="14"/>
        <v>131.62025</v>
      </c>
    </row>
    <row r="236" spans="2:11" x14ac:dyDescent="0.25">
      <c r="B236" s="4">
        <v>45801</v>
      </c>
      <c r="C236" t="s">
        <v>70</v>
      </c>
      <c r="E236" t="s">
        <v>64</v>
      </c>
      <c r="F236" t="s">
        <v>84</v>
      </c>
      <c r="G236" s="2">
        <v>0</v>
      </c>
      <c r="H236">
        <f t="shared" si="15"/>
        <v>1.4482999999999999</v>
      </c>
      <c r="I236">
        <v>41</v>
      </c>
      <c r="J236">
        <f t="shared" si="13"/>
        <v>59.380299999999998</v>
      </c>
      <c r="K236">
        <f t="shared" si="14"/>
        <v>59.380299999999998</v>
      </c>
    </row>
    <row r="237" spans="2:11" x14ac:dyDescent="0.25">
      <c r="B237" s="4">
        <v>45801</v>
      </c>
      <c r="C237" t="s">
        <v>70</v>
      </c>
      <c r="E237" t="s">
        <v>24</v>
      </c>
      <c r="F237" t="s">
        <v>84</v>
      </c>
      <c r="G237" s="2">
        <v>0</v>
      </c>
      <c r="H237">
        <f t="shared" si="15"/>
        <v>1.4482999999999999</v>
      </c>
      <c r="I237">
        <v>41</v>
      </c>
      <c r="J237">
        <f t="shared" si="13"/>
        <v>59.380299999999998</v>
      </c>
      <c r="K237">
        <f t="shared" si="14"/>
        <v>59.380299999999998</v>
      </c>
    </row>
    <row r="238" spans="2:11" x14ac:dyDescent="0.25">
      <c r="B238" s="4">
        <v>45801</v>
      </c>
      <c r="C238" t="s">
        <v>70</v>
      </c>
      <c r="E238" t="s">
        <v>25</v>
      </c>
      <c r="F238" t="s">
        <v>84</v>
      </c>
      <c r="G238" s="2">
        <v>0</v>
      </c>
      <c r="H238">
        <f t="shared" si="15"/>
        <v>1.4482999999999999</v>
      </c>
      <c r="I238">
        <v>41</v>
      </c>
      <c r="J238">
        <f t="shared" si="13"/>
        <v>59.380299999999998</v>
      </c>
      <c r="K238">
        <f t="shared" si="14"/>
        <v>59.380299999999998</v>
      </c>
    </row>
    <row r="239" spans="2:11" x14ac:dyDescent="0.25">
      <c r="B239" s="4">
        <v>45801</v>
      </c>
      <c r="C239" t="s">
        <v>70</v>
      </c>
      <c r="E239" t="s">
        <v>26</v>
      </c>
      <c r="F239" t="s">
        <v>84</v>
      </c>
      <c r="G239" s="2">
        <v>3.0000000000000001E-3</v>
      </c>
      <c r="H239">
        <f t="shared" si="15"/>
        <v>2.5054699999999999</v>
      </c>
      <c r="I239">
        <v>41</v>
      </c>
      <c r="J239">
        <f t="shared" si="13"/>
        <v>102.72426999999999</v>
      </c>
      <c r="K239">
        <f t="shared" si="14"/>
        <v>102.72426999999999</v>
      </c>
    </row>
    <row r="240" spans="2:11" x14ac:dyDescent="0.25">
      <c r="B240" s="4">
        <v>45801</v>
      </c>
      <c r="C240" t="s">
        <v>70</v>
      </c>
      <c r="E240" t="s">
        <v>65</v>
      </c>
      <c r="F240" t="s">
        <v>84</v>
      </c>
      <c r="G240" s="2">
        <v>0</v>
      </c>
      <c r="H240">
        <f t="shared" si="15"/>
        <v>1.4482999999999999</v>
      </c>
      <c r="I240">
        <v>41</v>
      </c>
      <c r="J240">
        <f t="shared" si="13"/>
        <v>59.380299999999998</v>
      </c>
      <c r="K240">
        <f t="shared" si="14"/>
        <v>59.380299999999998</v>
      </c>
    </row>
    <row r="241" spans="1:11" x14ac:dyDescent="0.25">
      <c r="B241" s="4">
        <v>45801</v>
      </c>
      <c r="C241" t="s">
        <v>70</v>
      </c>
      <c r="E241" t="s">
        <v>27</v>
      </c>
      <c r="F241" t="s">
        <v>84</v>
      </c>
      <c r="G241" s="2">
        <v>2.9000000000000001E-2</v>
      </c>
      <c r="H241">
        <f t="shared" si="15"/>
        <v>11.66761</v>
      </c>
      <c r="I241">
        <v>41</v>
      </c>
      <c r="J241">
        <f t="shared" si="13"/>
        <v>478.37200999999999</v>
      </c>
      <c r="K241">
        <f t="shared" si="14"/>
        <v>478.37200999999999</v>
      </c>
    </row>
    <row r="242" spans="1:11" x14ac:dyDescent="0.25">
      <c r="B242" s="4">
        <v>45801</v>
      </c>
      <c r="C242" t="s">
        <v>70</v>
      </c>
      <c r="E242" t="s">
        <v>28</v>
      </c>
      <c r="F242" t="s">
        <v>84</v>
      </c>
      <c r="G242" s="2">
        <v>0</v>
      </c>
      <c r="H242">
        <f t="shared" si="15"/>
        <v>1.4482999999999999</v>
      </c>
      <c r="I242">
        <v>41</v>
      </c>
      <c r="J242">
        <f t="shared" si="13"/>
        <v>59.380299999999998</v>
      </c>
      <c r="K242">
        <f t="shared" si="14"/>
        <v>59.380299999999998</v>
      </c>
    </row>
    <row r="243" spans="1:11" x14ac:dyDescent="0.25">
      <c r="B243" s="4">
        <v>45801</v>
      </c>
      <c r="C243" t="s">
        <v>70</v>
      </c>
      <c r="E243" t="s">
        <v>29</v>
      </c>
      <c r="F243" t="s">
        <v>84</v>
      </c>
      <c r="G243" s="2">
        <v>0</v>
      </c>
      <c r="H243">
        <f t="shared" si="15"/>
        <v>1.4482999999999999</v>
      </c>
      <c r="I243">
        <v>41</v>
      </c>
      <c r="J243">
        <f t="shared" si="13"/>
        <v>59.380299999999998</v>
      </c>
      <c r="K243">
        <f t="shared" si="14"/>
        <v>59.380299999999998</v>
      </c>
    </row>
    <row r="244" spans="1:11" x14ac:dyDescent="0.25">
      <c r="B244" s="4">
        <v>45801</v>
      </c>
      <c r="C244" t="s">
        <v>70</v>
      </c>
      <c r="E244" t="s">
        <v>66</v>
      </c>
      <c r="F244" t="s">
        <v>84</v>
      </c>
      <c r="G244" s="2">
        <v>0</v>
      </c>
      <c r="H244">
        <f t="shared" si="15"/>
        <v>1.4482999999999999</v>
      </c>
      <c r="I244">
        <v>41</v>
      </c>
      <c r="J244">
        <f t="shared" si="13"/>
        <v>59.380299999999998</v>
      </c>
      <c r="K244">
        <f t="shared" si="14"/>
        <v>59.380299999999998</v>
      </c>
    </row>
    <row r="245" spans="1:11" x14ac:dyDescent="0.25">
      <c r="B245" s="4">
        <v>45801</v>
      </c>
      <c r="C245" t="s">
        <v>70</v>
      </c>
      <c r="D245" t="s">
        <v>67</v>
      </c>
      <c r="E245">
        <v>1</v>
      </c>
      <c r="F245" t="s">
        <v>84</v>
      </c>
      <c r="G245" s="2">
        <v>8.0000000000000002E-3</v>
      </c>
      <c r="H245">
        <f t="shared" si="15"/>
        <v>4.2674199999999995</v>
      </c>
      <c r="I245">
        <v>41</v>
      </c>
      <c r="J245">
        <f t="shared" si="13"/>
        <v>174.96421999999998</v>
      </c>
      <c r="K245">
        <f t="shared" si="14"/>
        <v>174.96421999999998</v>
      </c>
    </row>
    <row r="246" spans="1:11" x14ac:dyDescent="0.25">
      <c r="B246" s="4">
        <v>45801</v>
      </c>
      <c r="C246" t="s">
        <v>70</v>
      </c>
      <c r="D246" t="s">
        <v>67</v>
      </c>
      <c r="E246">
        <v>2</v>
      </c>
      <c r="F246" t="s">
        <v>84</v>
      </c>
      <c r="G246" s="2">
        <v>5.0000000000000001E-3</v>
      </c>
      <c r="H246">
        <f t="shared" si="15"/>
        <v>3.2102499999999998</v>
      </c>
      <c r="I246">
        <v>41</v>
      </c>
      <c r="J246">
        <f t="shared" si="13"/>
        <v>131.62025</v>
      </c>
      <c r="K246">
        <f t="shared" si="14"/>
        <v>131.62025</v>
      </c>
    </row>
    <row r="247" spans="1:11" x14ac:dyDescent="0.25">
      <c r="B247" s="4">
        <v>45801</v>
      </c>
      <c r="C247" t="s">
        <v>70</v>
      </c>
      <c r="D247" t="s">
        <v>67</v>
      </c>
      <c r="E247">
        <v>3</v>
      </c>
      <c r="F247" t="s">
        <v>84</v>
      </c>
      <c r="G247" s="2">
        <v>2.4E-2</v>
      </c>
      <c r="H247">
        <f t="shared" si="15"/>
        <v>9.9056599999999992</v>
      </c>
      <c r="I247">
        <v>41</v>
      </c>
      <c r="J247">
        <f t="shared" si="13"/>
        <v>406.13205999999997</v>
      </c>
      <c r="K247">
        <f t="shared" si="14"/>
        <v>406.13205999999997</v>
      </c>
    </row>
    <row r="248" spans="1:11" x14ac:dyDescent="0.25">
      <c r="B248" s="4">
        <v>45801</v>
      </c>
      <c r="C248" t="s">
        <v>71</v>
      </c>
      <c r="E248" t="s">
        <v>13</v>
      </c>
      <c r="F248" t="s">
        <v>84</v>
      </c>
      <c r="G248" s="2">
        <v>0</v>
      </c>
      <c r="H248">
        <f t="shared" si="15"/>
        <v>1.4482999999999999</v>
      </c>
      <c r="I248">
        <v>41</v>
      </c>
      <c r="J248">
        <f t="shared" si="13"/>
        <v>59.380299999999998</v>
      </c>
      <c r="K248">
        <f t="shared" si="14"/>
        <v>59.380299999999998</v>
      </c>
    </row>
    <row r="249" spans="1:11" x14ac:dyDescent="0.25">
      <c r="B249" s="4">
        <v>45801</v>
      </c>
      <c r="C249" t="s">
        <v>71</v>
      </c>
      <c r="E249" t="s">
        <v>14</v>
      </c>
      <c r="F249" t="s">
        <v>84</v>
      </c>
      <c r="G249" s="2">
        <v>1E-3</v>
      </c>
      <c r="H249">
        <f t="shared" si="15"/>
        <v>1.8006899999999999</v>
      </c>
      <c r="I249">
        <v>41</v>
      </c>
      <c r="J249">
        <f t="shared" si="13"/>
        <v>73.828289999999996</v>
      </c>
      <c r="K249">
        <f t="shared" si="14"/>
        <v>73.828289999999996</v>
      </c>
    </row>
    <row r="250" spans="1:11" x14ac:dyDescent="0.25">
      <c r="B250" s="4">
        <v>45801</v>
      </c>
      <c r="C250" t="s">
        <v>71</v>
      </c>
      <c r="E250" t="s">
        <v>15</v>
      </c>
      <c r="F250" t="s">
        <v>84</v>
      </c>
      <c r="G250" s="2">
        <v>0</v>
      </c>
      <c r="H250">
        <f t="shared" si="15"/>
        <v>1.4482999999999999</v>
      </c>
      <c r="I250">
        <v>41</v>
      </c>
      <c r="J250">
        <f t="shared" si="13"/>
        <v>59.380299999999998</v>
      </c>
      <c r="K250">
        <f t="shared" si="14"/>
        <v>59.380299999999998</v>
      </c>
    </row>
    <row r="251" spans="1:11" x14ac:dyDescent="0.25">
      <c r="B251" s="4">
        <v>45801</v>
      </c>
      <c r="C251" t="s">
        <v>71</v>
      </c>
      <c r="E251" t="s">
        <v>61</v>
      </c>
      <c r="F251" t="s">
        <v>84</v>
      </c>
      <c r="G251" s="2">
        <v>8.0000000000000002E-3</v>
      </c>
      <c r="H251">
        <f t="shared" si="15"/>
        <v>4.2674199999999995</v>
      </c>
      <c r="I251">
        <v>41</v>
      </c>
      <c r="J251">
        <f t="shared" si="13"/>
        <v>174.96421999999998</v>
      </c>
      <c r="K251">
        <f t="shared" si="14"/>
        <v>174.96421999999998</v>
      </c>
    </row>
    <row r="252" spans="1:11" x14ac:dyDescent="0.25">
      <c r="B252" s="4">
        <v>45801</v>
      </c>
      <c r="C252" t="s">
        <v>71</v>
      </c>
      <c r="E252" t="s">
        <v>16</v>
      </c>
      <c r="F252" t="s">
        <v>84</v>
      </c>
      <c r="G252" s="2">
        <v>0</v>
      </c>
      <c r="H252">
        <f t="shared" si="15"/>
        <v>1.4482999999999999</v>
      </c>
      <c r="I252">
        <v>41</v>
      </c>
      <c r="J252">
        <f t="shared" si="13"/>
        <v>59.380299999999998</v>
      </c>
      <c r="K252">
        <f t="shared" si="14"/>
        <v>59.380299999999998</v>
      </c>
    </row>
    <row r="253" spans="1:11" x14ac:dyDescent="0.25">
      <c r="B253" s="4">
        <v>45801</v>
      </c>
      <c r="C253" t="s">
        <v>71</v>
      </c>
      <c r="E253" t="s">
        <v>17</v>
      </c>
      <c r="F253" t="s">
        <v>84</v>
      </c>
      <c r="G253" s="2">
        <v>5.0000000000000001E-3</v>
      </c>
      <c r="H253">
        <f t="shared" si="15"/>
        <v>3.2102499999999998</v>
      </c>
      <c r="I253">
        <v>41</v>
      </c>
      <c r="J253">
        <f t="shared" si="13"/>
        <v>131.62025</v>
      </c>
      <c r="K253">
        <f t="shared" si="14"/>
        <v>131.62025</v>
      </c>
    </row>
    <row r="254" spans="1:11" x14ac:dyDescent="0.25">
      <c r="B254" s="4">
        <v>45801</v>
      </c>
      <c r="C254" t="s">
        <v>71</v>
      </c>
      <c r="E254" t="s">
        <v>12</v>
      </c>
      <c r="F254" t="s">
        <v>84</v>
      </c>
      <c r="G254" s="2">
        <v>0</v>
      </c>
      <c r="H254">
        <f t="shared" si="15"/>
        <v>1.4482999999999999</v>
      </c>
      <c r="I254">
        <v>41</v>
      </c>
      <c r="J254">
        <f t="shared" si="13"/>
        <v>59.380299999999998</v>
      </c>
      <c r="K254">
        <f t="shared" si="14"/>
        <v>59.380299999999998</v>
      </c>
    </row>
    <row r="255" spans="1:11" x14ac:dyDescent="0.25">
      <c r="B255" s="4">
        <v>45801</v>
      </c>
      <c r="C255" t="s">
        <v>71</v>
      </c>
      <c r="E255" t="s">
        <v>62</v>
      </c>
      <c r="F255" t="s">
        <v>84</v>
      </c>
      <c r="G255" s="2">
        <v>5.0000000000000001E-3</v>
      </c>
      <c r="H255">
        <f t="shared" si="15"/>
        <v>3.2102499999999998</v>
      </c>
      <c r="I255">
        <v>41</v>
      </c>
      <c r="J255">
        <f t="shared" si="13"/>
        <v>131.62025</v>
      </c>
      <c r="K255">
        <f t="shared" si="14"/>
        <v>131.62025</v>
      </c>
    </row>
    <row r="256" spans="1:11" x14ac:dyDescent="0.25">
      <c r="A256" s="3"/>
      <c r="B256" s="5">
        <v>45801</v>
      </c>
      <c r="C256" s="3" t="s">
        <v>71</v>
      </c>
      <c r="D256" s="3"/>
      <c r="E256" s="3" t="s">
        <v>18</v>
      </c>
      <c r="F256" t="s">
        <v>84</v>
      </c>
      <c r="G256" s="3"/>
      <c r="H256">
        <f t="shared" si="15"/>
        <v>1.4482999999999999</v>
      </c>
      <c r="I256">
        <v>41</v>
      </c>
      <c r="J256">
        <f t="shared" si="13"/>
        <v>59.380299999999998</v>
      </c>
      <c r="K256">
        <f t="shared" si="14"/>
        <v>59.380299999999998</v>
      </c>
    </row>
    <row r="257" spans="2:11" x14ac:dyDescent="0.25">
      <c r="B257" s="4">
        <v>45801</v>
      </c>
      <c r="C257" t="s">
        <v>71</v>
      </c>
      <c r="E257" t="s">
        <v>19</v>
      </c>
      <c r="F257" t="s">
        <v>84</v>
      </c>
      <c r="G257" s="2">
        <v>0.02</v>
      </c>
      <c r="H257">
        <f t="shared" si="15"/>
        <v>8.4961000000000002</v>
      </c>
      <c r="I257">
        <v>41</v>
      </c>
      <c r="J257">
        <f t="shared" si="13"/>
        <v>348.34010000000001</v>
      </c>
      <c r="K257">
        <f t="shared" si="14"/>
        <v>348.34010000000001</v>
      </c>
    </row>
    <row r="258" spans="2:11" x14ac:dyDescent="0.25">
      <c r="B258" s="4">
        <v>45801</v>
      </c>
      <c r="C258" t="s">
        <v>71</v>
      </c>
      <c r="E258" t="s">
        <v>20</v>
      </c>
      <c r="F258" t="s">
        <v>84</v>
      </c>
      <c r="G258" s="2">
        <v>8.0000000000000002E-3</v>
      </c>
      <c r="H258">
        <f t="shared" si="15"/>
        <v>4.2674199999999995</v>
      </c>
      <c r="I258">
        <v>41</v>
      </c>
      <c r="J258">
        <f t="shared" ref="J258:J321" si="16">H258*I258</f>
        <v>174.96421999999998</v>
      </c>
      <c r="K258">
        <f t="shared" si="14"/>
        <v>174.96421999999998</v>
      </c>
    </row>
    <row r="259" spans="2:11" x14ac:dyDescent="0.25">
      <c r="B259" s="4">
        <v>45801</v>
      </c>
      <c r="C259" t="s">
        <v>71</v>
      </c>
      <c r="E259" t="s">
        <v>63</v>
      </c>
      <c r="F259" t="s">
        <v>84</v>
      </c>
      <c r="G259" s="2">
        <v>0</v>
      </c>
      <c r="H259">
        <f t="shared" si="15"/>
        <v>1.4482999999999999</v>
      </c>
      <c r="I259">
        <v>41</v>
      </c>
      <c r="J259">
        <f t="shared" si="16"/>
        <v>59.380299999999998</v>
      </c>
      <c r="K259">
        <f t="shared" ref="K259:K322" si="17">MAX(J259,0)</f>
        <v>59.380299999999998</v>
      </c>
    </row>
    <row r="260" spans="2:11" x14ac:dyDescent="0.25">
      <c r="B260" s="4">
        <v>45801</v>
      </c>
      <c r="C260" t="s">
        <v>71</v>
      </c>
      <c r="E260" t="s">
        <v>21</v>
      </c>
      <c r="F260" t="s">
        <v>84</v>
      </c>
      <c r="G260" s="2">
        <v>4.0000000000000001E-3</v>
      </c>
      <c r="H260">
        <f t="shared" si="15"/>
        <v>2.8578599999999996</v>
      </c>
      <c r="I260">
        <v>41</v>
      </c>
      <c r="J260">
        <f t="shared" si="16"/>
        <v>117.17225999999998</v>
      </c>
      <c r="K260">
        <f t="shared" si="17"/>
        <v>117.17225999999998</v>
      </c>
    </row>
    <row r="261" spans="2:11" x14ac:dyDescent="0.25">
      <c r="B261" s="4">
        <v>45801</v>
      </c>
      <c r="C261" t="s">
        <v>71</v>
      </c>
      <c r="E261" t="s">
        <v>22</v>
      </c>
      <c r="F261" t="s">
        <v>84</v>
      </c>
      <c r="G261" s="2">
        <v>0</v>
      </c>
      <c r="H261">
        <f t="shared" si="15"/>
        <v>1.4482999999999999</v>
      </c>
      <c r="I261">
        <v>41</v>
      </c>
      <c r="J261">
        <f t="shared" si="16"/>
        <v>59.380299999999998</v>
      </c>
      <c r="K261">
        <f t="shared" si="17"/>
        <v>59.380299999999998</v>
      </c>
    </row>
    <row r="262" spans="2:11" x14ac:dyDescent="0.25">
      <c r="B262" s="4">
        <v>45801</v>
      </c>
      <c r="C262" t="s">
        <v>71</v>
      </c>
      <c r="E262" t="s">
        <v>23</v>
      </c>
      <c r="F262" t="s">
        <v>84</v>
      </c>
      <c r="G262" s="2">
        <v>3.0000000000000001E-3</v>
      </c>
      <c r="H262">
        <f t="shared" si="15"/>
        <v>2.5054699999999999</v>
      </c>
      <c r="I262">
        <v>41</v>
      </c>
      <c r="J262">
        <f t="shared" si="16"/>
        <v>102.72426999999999</v>
      </c>
      <c r="K262">
        <f t="shared" si="17"/>
        <v>102.72426999999999</v>
      </c>
    </row>
    <row r="263" spans="2:11" x14ac:dyDescent="0.25">
      <c r="B263" s="4">
        <v>45801</v>
      </c>
      <c r="C263" t="s">
        <v>71</v>
      </c>
      <c r="E263" t="s">
        <v>64</v>
      </c>
      <c r="F263" t="s">
        <v>84</v>
      </c>
      <c r="G263" s="2">
        <v>2E-3</v>
      </c>
      <c r="H263">
        <f t="shared" si="15"/>
        <v>2.1530800000000001</v>
      </c>
      <c r="I263">
        <v>41</v>
      </c>
      <c r="J263">
        <f t="shared" si="16"/>
        <v>88.27628</v>
      </c>
      <c r="K263">
        <f t="shared" si="17"/>
        <v>88.27628</v>
      </c>
    </row>
    <row r="264" spans="2:11" x14ac:dyDescent="0.25">
      <c r="B264" s="4">
        <v>45801</v>
      </c>
      <c r="C264" t="s">
        <v>71</v>
      </c>
      <c r="E264" t="s">
        <v>24</v>
      </c>
      <c r="F264" t="s">
        <v>84</v>
      </c>
      <c r="G264" s="2">
        <v>0</v>
      </c>
      <c r="H264">
        <f t="shared" si="15"/>
        <v>1.4482999999999999</v>
      </c>
      <c r="I264">
        <v>41</v>
      </c>
      <c r="J264">
        <f t="shared" si="16"/>
        <v>59.380299999999998</v>
      </c>
      <c r="K264">
        <f t="shared" si="17"/>
        <v>59.380299999999998</v>
      </c>
    </row>
    <row r="265" spans="2:11" x14ac:dyDescent="0.25">
      <c r="B265" s="4">
        <v>45801</v>
      </c>
      <c r="C265" t="s">
        <v>71</v>
      </c>
      <c r="E265" t="s">
        <v>25</v>
      </c>
      <c r="F265" t="s">
        <v>84</v>
      </c>
      <c r="G265" s="2">
        <v>0</v>
      </c>
      <c r="H265">
        <f t="shared" si="15"/>
        <v>1.4482999999999999</v>
      </c>
      <c r="I265">
        <v>41</v>
      </c>
      <c r="J265">
        <f t="shared" si="16"/>
        <v>59.380299999999998</v>
      </c>
      <c r="K265">
        <f t="shared" si="17"/>
        <v>59.380299999999998</v>
      </c>
    </row>
    <row r="266" spans="2:11" x14ac:dyDescent="0.25">
      <c r="B266" s="4">
        <v>45801</v>
      </c>
      <c r="C266" t="s">
        <v>71</v>
      </c>
      <c r="E266" t="s">
        <v>26</v>
      </c>
      <c r="F266" t="s">
        <v>84</v>
      </c>
      <c r="G266" s="2">
        <v>0</v>
      </c>
      <c r="H266">
        <f t="shared" si="15"/>
        <v>1.4482999999999999</v>
      </c>
      <c r="I266">
        <v>41</v>
      </c>
      <c r="J266">
        <f t="shared" si="16"/>
        <v>59.380299999999998</v>
      </c>
      <c r="K266">
        <f t="shared" si="17"/>
        <v>59.380299999999998</v>
      </c>
    </row>
    <row r="267" spans="2:11" x14ac:dyDescent="0.25">
      <c r="B267" s="4">
        <v>45801</v>
      </c>
      <c r="C267" t="s">
        <v>71</v>
      </c>
      <c r="E267" t="s">
        <v>65</v>
      </c>
      <c r="F267" t="s">
        <v>84</v>
      </c>
      <c r="G267" s="2">
        <v>0</v>
      </c>
      <c r="H267">
        <f t="shared" si="15"/>
        <v>1.4482999999999999</v>
      </c>
      <c r="I267">
        <v>41</v>
      </c>
      <c r="J267">
        <f t="shared" si="16"/>
        <v>59.380299999999998</v>
      </c>
      <c r="K267">
        <f t="shared" si="17"/>
        <v>59.380299999999998</v>
      </c>
    </row>
    <row r="268" spans="2:11" x14ac:dyDescent="0.25">
      <c r="B268" s="4">
        <v>45801</v>
      </c>
      <c r="C268" t="s">
        <v>71</v>
      </c>
      <c r="E268" t="s">
        <v>27</v>
      </c>
      <c r="F268" t="s">
        <v>84</v>
      </c>
      <c r="G268" s="2">
        <v>4.0000000000000001E-3</v>
      </c>
      <c r="H268">
        <f t="shared" si="15"/>
        <v>2.8578599999999996</v>
      </c>
      <c r="I268">
        <v>41</v>
      </c>
      <c r="J268">
        <f t="shared" si="16"/>
        <v>117.17225999999998</v>
      </c>
      <c r="K268">
        <f t="shared" si="17"/>
        <v>117.17225999999998</v>
      </c>
    </row>
    <row r="269" spans="2:11" x14ac:dyDescent="0.25">
      <c r="B269" s="4">
        <v>45801</v>
      </c>
      <c r="C269" t="s">
        <v>71</v>
      </c>
      <c r="E269" t="s">
        <v>28</v>
      </c>
      <c r="F269" t="s">
        <v>84</v>
      </c>
      <c r="G269" s="2">
        <v>0</v>
      </c>
      <c r="H269">
        <f t="shared" ref="H269:H332" si="18">(352.39*G269)+1.4483</f>
        <v>1.4482999999999999</v>
      </c>
      <c r="I269">
        <v>41</v>
      </c>
      <c r="J269">
        <f t="shared" si="16"/>
        <v>59.380299999999998</v>
      </c>
      <c r="K269">
        <f t="shared" si="17"/>
        <v>59.380299999999998</v>
      </c>
    </row>
    <row r="270" spans="2:11" x14ac:dyDescent="0.25">
      <c r="B270" s="4">
        <v>45801</v>
      </c>
      <c r="C270" t="s">
        <v>71</v>
      </c>
      <c r="E270" t="s">
        <v>29</v>
      </c>
      <c r="F270" t="s">
        <v>84</v>
      </c>
      <c r="G270" s="2">
        <v>0</v>
      </c>
      <c r="H270">
        <f t="shared" si="18"/>
        <v>1.4482999999999999</v>
      </c>
      <c r="I270">
        <v>41</v>
      </c>
      <c r="J270">
        <f t="shared" si="16"/>
        <v>59.380299999999998</v>
      </c>
      <c r="K270">
        <f t="shared" si="17"/>
        <v>59.380299999999998</v>
      </c>
    </row>
    <row r="271" spans="2:11" x14ac:dyDescent="0.25">
      <c r="B271" s="4">
        <v>45801</v>
      </c>
      <c r="C271" t="s">
        <v>71</v>
      </c>
      <c r="E271" t="s">
        <v>66</v>
      </c>
      <c r="F271" t="s">
        <v>84</v>
      </c>
      <c r="G271" s="2">
        <v>0</v>
      </c>
      <c r="H271">
        <f t="shared" si="18"/>
        <v>1.4482999999999999</v>
      </c>
      <c r="I271">
        <v>41</v>
      </c>
      <c r="J271">
        <f t="shared" si="16"/>
        <v>59.380299999999998</v>
      </c>
      <c r="K271">
        <f t="shared" si="17"/>
        <v>59.380299999999998</v>
      </c>
    </row>
    <row r="272" spans="2:11" x14ac:dyDescent="0.25">
      <c r="B272" s="4">
        <v>45801</v>
      </c>
      <c r="C272" t="s">
        <v>71</v>
      </c>
      <c r="D272" t="s">
        <v>67</v>
      </c>
      <c r="E272">
        <v>1</v>
      </c>
      <c r="F272" t="s">
        <v>84</v>
      </c>
      <c r="G272" s="2">
        <v>4.0000000000000001E-3</v>
      </c>
      <c r="H272">
        <f t="shared" si="18"/>
        <v>2.8578599999999996</v>
      </c>
      <c r="I272">
        <v>1</v>
      </c>
      <c r="J272">
        <f t="shared" si="16"/>
        <v>2.8578599999999996</v>
      </c>
      <c r="K272">
        <f t="shared" si="17"/>
        <v>2.8578599999999996</v>
      </c>
    </row>
    <row r="273" spans="2:11" x14ac:dyDescent="0.25">
      <c r="B273" s="4">
        <v>45801</v>
      </c>
      <c r="C273" t="s">
        <v>71</v>
      </c>
      <c r="D273" t="s">
        <v>67</v>
      </c>
      <c r="E273">
        <v>2</v>
      </c>
      <c r="F273" t="s">
        <v>84</v>
      </c>
      <c r="G273" s="2">
        <v>1.4999999999999999E-2</v>
      </c>
      <c r="H273">
        <f t="shared" si="18"/>
        <v>6.7341499999999996</v>
      </c>
      <c r="I273">
        <v>1</v>
      </c>
      <c r="J273">
        <f t="shared" si="16"/>
        <v>6.7341499999999996</v>
      </c>
      <c r="K273">
        <f t="shared" si="17"/>
        <v>6.7341499999999996</v>
      </c>
    </row>
    <row r="274" spans="2:11" x14ac:dyDescent="0.25">
      <c r="B274" s="4">
        <v>45801</v>
      </c>
      <c r="C274" t="s">
        <v>71</v>
      </c>
      <c r="D274" t="s">
        <v>67</v>
      </c>
      <c r="E274">
        <v>3</v>
      </c>
      <c r="F274" t="s">
        <v>84</v>
      </c>
      <c r="G274" s="2">
        <v>0</v>
      </c>
      <c r="H274">
        <f t="shared" si="18"/>
        <v>1.4482999999999999</v>
      </c>
      <c r="I274">
        <v>1</v>
      </c>
      <c r="J274">
        <f t="shared" si="16"/>
        <v>1.4482999999999999</v>
      </c>
      <c r="K274">
        <f t="shared" si="17"/>
        <v>1.4482999999999999</v>
      </c>
    </row>
    <row r="275" spans="2:11" x14ac:dyDescent="0.25">
      <c r="B275" s="4">
        <v>45801</v>
      </c>
      <c r="C275" t="s">
        <v>72</v>
      </c>
      <c r="E275" t="s">
        <v>13</v>
      </c>
      <c r="F275" t="s">
        <v>84</v>
      </c>
      <c r="G275" s="2">
        <v>4.0000000000000001E-3</v>
      </c>
      <c r="H275">
        <f t="shared" si="18"/>
        <v>2.8578599999999996</v>
      </c>
      <c r="I275">
        <v>41</v>
      </c>
      <c r="J275">
        <f t="shared" si="16"/>
        <v>117.17225999999998</v>
      </c>
      <c r="K275">
        <f t="shared" si="17"/>
        <v>117.17225999999998</v>
      </c>
    </row>
    <row r="276" spans="2:11" x14ac:dyDescent="0.25">
      <c r="B276" s="4">
        <v>45801</v>
      </c>
      <c r="C276" t="s">
        <v>72</v>
      </c>
      <c r="E276" t="s">
        <v>14</v>
      </c>
      <c r="F276" t="s">
        <v>84</v>
      </c>
      <c r="G276" s="2">
        <v>0</v>
      </c>
      <c r="H276">
        <f t="shared" si="18"/>
        <v>1.4482999999999999</v>
      </c>
      <c r="I276">
        <v>41</v>
      </c>
      <c r="J276">
        <f t="shared" si="16"/>
        <v>59.380299999999998</v>
      </c>
      <c r="K276">
        <f t="shared" si="17"/>
        <v>59.380299999999998</v>
      </c>
    </row>
    <row r="277" spans="2:11" x14ac:dyDescent="0.25">
      <c r="B277" s="4">
        <v>45801</v>
      </c>
      <c r="C277" t="s">
        <v>72</v>
      </c>
      <c r="E277" t="s">
        <v>15</v>
      </c>
      <c r="F277" t="s">
        <v>84</v>
      </c>
      <c r="G277" s="2">
        <v>1E-3</v>
      </c>
      <c r="H277">
        <f t="shared" si="18"/>
        <v>1.8006899999999999</v>
      </c>
      <c r="I277">
        <v>41</v>
      </c>
      <c r="J277">
        <f t="shared" si="16"/>
        <v>73.828289999999996</v>
      </c>
      <c r="K277">
        <f t="shared" si="17"/>
        <v>73.828289999999996</v>
      </c>
    </row>
    <row r="278" spans="2:11" x14ac:dyDescent="0.25">
      <c r="B278" s="4">
        <v>45801</v>
      </c>
      <c r="C278" t="s">
        <v>72</v>
      </c>
      <c r="E278" t="s">
        <v>61</v>
      </c>
      <c r="F278" t="s">
        <v>84</v>
      </c>
      <c r="G278" s="2">
        <v>0</v>
      </c>
      <c r="H278">
        <f t="shared" si="18"/>
        <v>1.4482999999999999</v>
      </c>
      <c r="I278">
        <v>41</v>
      </c>
      <c r="J278">
        <f t="shared" si="16"/>
        <v>59.380299999999998</v>
      </c>
      <c r="K278">
        <f t="shared" si="17"/>
        <v>59.380299999999998</v>
      </c>
    </row>
    <row r="279" spans="2:11" x14ac:dyDescent="0.25">
      <c r="B279" s="4">
        <v>45801</v>
      </c>
      <c r="C279" t="s">
        <v>72</v>
      </c>
      <c r="E279" t="s">
        <v>16</v>
      </c>
      <c r="F279" t="s">
        <v>84</v>
      </c>
      <c r="G279" s="2">
        <v>0</v>
      </c>
      <c r="H279">
        <f t="shared" si="18"/>
        <v>1.4482999999999999</v>
      </c>
      <c r="I279">
        <v>41</v>
      </c>
      <c r="J279">
        <f t="shared" si="16"/>
        <v>59.380299999999998</v>
      </c>
      <c r="K279">
        <f t="shared" si="17"/>
        <v>59.380299999999998</v>
      </c>
    </row>
    <row r="280" spans="2:11" x14ac:dyDescent="0.25">
      <c r="B280" s="4">
        <v>45801</v>
      </c>
      <c r="C280" t="s">
        <v>72</v>
      </c>
      <c r="E280" t="s">
        <v>17</v>
      </c>
      <c r="F280" t="s">
        <v>84</v>
      </c>
      <c r="G280" s="2">
        <v>3.0000000000000001E-3</v>
      </c>
      <c r="H280">
        <f t="shared" si="18"/>
        <v>2.5054699999999999</v>
      </c>
      <c r="I280">
        <v>41</v>
      </c>
      <c r="J280">
        <f t="shared" si="16"/>
        <v>102.72426999999999</v>
      </c>
      <c r="K280">
        <f t="shared" si="17"/>
        <v>102.72426999999999</v>
      </c>
    </row>
    <row r="281" spans="2:11" x14ac:dyDescent="0.25">
      <c r="B281" s="4">
        <v>45801</v>
      </c>
      <c r="C281" t="s">
        <v>72</v>
      </c>
      <c r="E281" t="s">
        <v>12</v>
      </c>
      <c r="F281" t="s">
        <v>84</v>
      </c>
      <c r="G281" s="2">
        <v>2E-3</v>
      </c>
      <c r="H281">
        <f t="shared" si="18"/>
        <v>2.1530800000000001</v>
      </c>
      <c r="I281">
        <v>41</v>
      </c>
      <c r="J281">
        <f t="shared" si="16"/>
        <v>88.27628</v>
      </c>
      <c r="K281">
        <f t="shared" si="17"/>
        <v>88.27628</v>
      </c>
    </row>
    <row r="282" spans="2:11" x14ac:dyDescent="0.25">
      <c r="B282" s="4">
        <v>45801</v>
      </c>
      <c r="C282" t="s">
        <v>72</v>
      </c>
      <c r="E282" t="s">
        <v>62</v>
      </c>
      <c r="F282" t="s">
        <v>84</v>
      </c>
      <c r="G282" s="2">
        <v>0</v>
      </c>
      <c r="H282">
        <f t="shared" si="18"/>
        <v>1.4482999999999999</v>
      </c>
      <c r="I282">
        <v>41</v>
      </c>
      <c r="J282">
        <f t="shared" si="16"/>
        <v>59.380299999999998</v>
      </c>
      <c r="K282">
        <f t="shared" si="17"/>
        <v>59.380299999999998</v>
      </c>
    </row>
    <row r="283" spans="2:11" x14ac:dyDescent="0.25">
      <c r="B283" s="4">
        <v>45801</v>
      </c>
      <c r="C283" t="s">
        <v>72</v>
      </c>
      <c r="E283" t="s">
        <v>18</v>
      </c>
      <c r="F283" t="s">
        <v>84</v>
      </c>
      <c r="G283" s="2">
        <v>7.0000000000000001E-3</v>
      </c>
      <c r="H283">
        <f t="shared" si="18"/>
        <v>3.9150299999999998</v>
      </c>
      <c r="I283">
        <v>41</v>
      </c>
      <c r="J283">
        <f t="shared" si="16"/>
        <v>160.51622999999998</v>
      </c>
      <c r="K283">
        <f t="shared" si="17"/>
        <v>160.51622999999998</v>
      </c>
    </row>
    <row r="284" spans="2:11" x14ac:dyDescent="0.25">
      <c r="B284" s="4">
        <v>45801</v>
      </c>
      <c r="C284" t="s">
        <v>72</v>
      </c>
      <c r="E284" t="s">
        <v>19</v>
      </c>
      <c r="F284" t="s">
        <v>84</v>
      </c>
      <c r="G284" s="2">
        <v>0</v>
      </c>
      <c r="H284">
        <f t="shared" si="18"/>
        <v>1.4482999999999999</v>
      </c>
      <c r="I284">
        <v>41</v>
      </c>
      <c r="J284">
        <f t="shared" si="16"/>
        <v>59.380299999999998</v>
      </c>
      <c r="K284">
        <f t="shared" si="17"/>
        <v>59.380299999999998</v>
      </c>
    </row>
    <row r="285" spans="2:11" x14ac:dyDescent="0.25">
      <c r="B285" s="4">
        <v>45801</v>
      </c>
      <c r="C285" t="s">
        <v>72</v>
      </c>
      <c r="E285" t="s">
        <v>20</v>
      </c>
      <c r="F285" t="s">
        <v>84</v>
      </c>
      <c r="G285" s="2">
        <v>8.0000000000000002E-3</v>
      </c>
      <c r="H285">
        <f t="shared" si="18"/>
        <v>4.2674199999999995</v>
      </c>
      <c r="I285">
        <v>41</v>
      </c>
      <c r="J285">
        <f t="shared" si="16"/>
        <v>174.96421999999998</v>
      </c>
      <c r="K285">
        <f t="shared" si="17"/>
        <v>174.96421999999998</v>
      </c>
    </row>
    <row r="286" spans="2:11" x14ac:dyDescent="0.25">
      <c r="B286" s="4">
        <v>45801</v>
      </c>
      <c r="C286" t="s">
        <v>72</v>
      </c>
      <c r="E286" t="s">
        <v>63</v>
      </c>
      <c r="F286" t="s">
        <v>84</v>
      </c>
      <c r="G286" s="2">
        <v>1E-3</v>
      </c>
      <c r="H286">
        <f t="shared" si="18"/>
        <v>1.8006899999999999</v>
      </c>
      <c r="I286">
        <v>41</v>
      </c>
      <c r="J286">
        <f t="shared" si="16"/>
        <v>73.828289999999996</v>
      </c>
      <c r="K286">
        <f t="shared" si="17"/>
        <v>73.828289999999996</v>
      </c>
    </row>
    <row r="287" spans="2:11" x14ac:dyDescent="0.25">
      <c r="B287" s="4">
        <v>45801</v>
      </c>
      <c r="C287" t="s">
        <v>72</v>
      </c>
      <c r="E287" t="s">
        <v>21</v>
      </c>
      <c r="F287" t="s">
        <v>84</v>
      </c>
      <c r="G287" s="2">
        <v>8.9999999999999993E-3</v>
      </c>
      <c r="H287">
        <f t="shared" si="18"/>
        <v>4.6198099999999993</v>
      </c>
      <c r="I287">
        <v>41</v>
      </c>
      <c r="J287">
        <f t="shared" si="16"/>
        <v>189.41220999999996</v>
      </c>
      <c r="K287">
        <f t="shared" si="17"/>
        <v>189.41220999999996</v>
      </c>
    </row>
    <row r="288" spans="2:11" x14ac:dyDescent="0.25">
      <c r="B288" s="4">
        <v>45801</v>
      </c>
      <c r="C288" t="s">
        <v>72</v>
      </c>
      <c r="E288" t="s">
        <v>22</v>
      </c>
      <c r="F288" t="s">
        <v>84</v>
      </c>
      <c r="G288" s="2">
        <v>0</v>
      </c>
      <c r="H288">
        <f t="shared" si="18"/>
        <v>1.4482999999999999</v>
      </c>
      <c r="I288">
        <v>41</v>
      </c>
      <c r="J288">
        <f t="shared" si="16"/>
        <v>59.380299999999998</v>
      </c>
      <c r="K288">
        <f t="shared" si="17"/>
        <v>59.380299999999998</v>
      </c>
    </row>
    <row r="289" spans="2:11" x14ac:dyDescent="0.25">
      <c r="B289" s="4">
        <v>45801</v>
      </c>
      <c r="C289" t="s">
        <v>72</v>
      </c>
      <c r="E289" t="s">
        <v>23</v>
      </c>
      <c r="F289" t="s">
        <v>84</v>
      </c>
      <c r="G289" s="2">
        <v>0</v>
      </c>
      <c r="H289">
        <f t="shared" si="18"/>
        <v>1.4482999999999999</v>
      </c>
      <c r="I289">
        <v>41</v>
      </c>
      <c r="J289">
        <f t="shared" si="16"/>
        <v>59.380299999999998</v>
      </c>
      <c r="K289">
        <f t="shared" si="17"/>
        <v>59.380299999999998</v>
      </c>
    </row>
    <row r="290" spans="2:11" x14ac:dyDescent="0.25">
      <c r="B290" s="4">
        <v>45801</v>
      </c>
      <c r="C290" t="s">
        <v>72</v>
      </c>
      <c r="E290" t="s">
        <v>64</v>
      </c>
      <c r="F290" t="s">
        <v>84</v>
      </c>
      <c r="G290" s="2">
        <v>4.0000000000000001E-3</v>
      </c>
      <c r="H290">
        <f t="shared" si="18"/>
        <v>2.8578599999999996</v>
      </c>
      <c r="I290">
        <v>41</v>
      </c>
      <c r="J290">
        <f t="shared" si="16"/>
        <v>117.17225999999998</v>
      </c>
      <c r="K290">
        <f t="shared" si="17"/>
        <v>117.17225999999998</v>
      </c>
    </row>
    <row r="291" spans="2:11" x14ac:dyDescent="0.25">
      <c r="B291" s="4">
        <v>45801</v>
      </c>
      <c r="C291" t="s">
        <v>72</v>
      </c>
      <c r="E291" t="s">
        <v>24</v>
      </c>
      <c r="F291" t="s">
        <v>84</v>
      </c>
      <c r="G291" s="2">
        <v>1E-3</v>
      </c>
      <c r="H291">
        <f t="shared" si="18"/>
        <v>1.8006899999999999</v>
      </c>
      <c r="I291">
        <v>41</v>
      </c>
      <c r="J291">
        <f t="shared" si="16"/>
        <v>73.828289999999996</v>
      </c>
      <c r="K291">
        <f t="shared" si="17"/>
        <v>73.828289999999996</v>
      </c>
    </row>
    <row r="292" spans="2:11" x14ac:dyDescent="0.25">
      <c r="B292" s="4">
        <v>45801</v>
      </c>
      <c r="C292" t="s">
        <v>72</v>
      </c>
      <c r="E292" t="s">
        <v>25</v>
      </c>
      <c r="F292" t="s">
        <v>84</v>
      </c>
      <c r="G292" s="2">
        <v>0</v>
      </c>
      <c r="H292">
        <f t="shared" si="18"/>
        <v>1.4482999999999999</v>
      </c>
      <c r="I292">
        <v>41</v>
      </c>
      <c r="J292">
        <f t="shared" si="16"/>
        <v>59.380299999999998</v>
      </c>
      <c r="K292">
        <f t="shared" si="17"/>
        <v>59.380299999999998</v>
      </c>
    </row>
    <row r="293" spans="2:11" x14ac:dyDescent="0.25">
      <c r="B293" s="4">
        <v>45801</v>
      </c>
      <c r="C293" t="s">
        <v>72</v>
      </c>
      <c r="E293" t="s">
        <v>26</v>
      </c>
      <c r="F293" t="s">
        <v>84</v>
      </c>
      <c r="G293" s="2">
        <v>3.0000000000000001E-3</v>
      </c>
      <c r="H293">
        <f t="shared" si="18"/>
        <v>2.5054699999999999</v>
      </c>
      <c r="I293">
        <v>41</v>
      </c>
      <c r="J293">
        <f t="shared" si="16"/>
        <v>102.72426999999999</v>
      </c>
      <c r="K293">
        <f t="shared" si="17"/>
        <v>102.72426999999999</v>
      </c>
    </row>
    <row r="294" spans="2:11" x14ac:dyDescent="0.25">
      <c r="B294" s="4">
        <v>45801</v>
      </c>
      <c r="C294" t="s">
        <v>72</v>
      </c>
      <c r="E294" t="s">
        <v>65</v>
      </c>
      <c r="F294" t="s">
        <v>84</v>
      </c>
      <c r="G294" s="2">
        <v>0</v>
      </c>
      <c r="H294">
        <f t="shared" si="18"/>
        <v>1.4482999999999999</v>
      </c>
      <c r="I294">
        <v>41</v>
      </c>
      <c r="J294">
        <f t="shared" si="16"/>
        <v>59.380299999999998</v>
      </c>
      <c r="K294">
        <f t="shared" si="17"/>
        <v>59.380299999999998</v>
      </c>
    </row>
    <row r="295" spans="2:11" x14ac:dyDescent="0.25">
      <c r="B295" s="4">
        <v>45801</v>
      </c>
      <c r="C295" t="s">
        <v>72</v>
      </c>
      <c r="E295" t="s">
        <v>27</v>
      </c>
      <c r="F295" t="s">
        <v>84</v>
      </c>
      <c r="G295" s="2">
        <v>0</v>
      </c>
      <c r="H295">
        <f t="shared" si="18"/>
        <v>1.4482999999999999</v>
      </c>
      <c r="I295">
        <v>41</v>
      </c>
      <c r="J295">
        <f t="shared" si="16"/>
        <v>59.380299999999998</v>
      </c>
      <c r="K295">
        <f t="shared" si="17"/>
        <v>59.380299999999998</v>
      </c>
    </row>
    <row r="296" spans="2:11" x14ac:dyDescent="0.25">
      <c r="B296" s="4">
        <v>45801</v>
      </c>
      <c r="C296" t="s">
        <v>72</v>
      </c>
      <c r="E296" t="s">
        <v>28</v>
      </c>
      <c r="F296" t="s">
        <v>84</v>
      </c>
      <c r="G296" s="2">
        <v>0</v>
      </c>
      <c r="H296">
        <f t="shared" si="18"/>
        <v>1.4482999999999999</v>
      </c>
      <c r="I296">
        <v>41</v>
      </c>
      <c r="J296">
        <f t="shared" si="16"/>
        <v>59.380299999999998</v>
      </c>
      <c r="K296">
        <f t="shared" si="17"/>
        <v>59.380299999999998</v>
      </c>
    </row>
    <row r="297" spans="2:11" x14ac:dyDescent="0.25">
      <c r="B297" s="4">
        <v>45801</v>
      </c>
      <c r="C297" t="s">
        <v>72</v>
      </c>
      <c r="E297" t="s">
        <v>29</v>
      </c>
      <c r="F297" t="s">
        <v>84</v>
      </c>
      <c r="G297" s="2">
        <v>5.0000000000000001E-3</v>
      </c>
      <c r="H297">
        <f t="shared" si="18"/>
        <v>3.2102499999999998</v>
      </c>
      <c r="I297">
        <v>41</v>
      </c>
      <c r="J297">
        <f t="shared" si="16"/>
        <v>131.62025</v>
      </c>
      <c r="K297">
        <f t="shared" si="17"/>
        <v>131.62025</v>
      </c>
    </row>
    <row r="298" spans="2:11" x14ac:dyDescent="0.25">
      <c r="B298" s="4">
        <v>45801</v>
      </c>
      <c r="C298" t="s">
        <v>72</v>
      </c>
      <c r="E298" t="s">
        <v>66</v>
      </c>
      <c r="F298" t="s">
        <v>84</v>
      </c>
      <c r="G298" t="s">
        <v>69</v>
      </c>
      <c r="H298" t="e">
        <f t="shared" si="18"/>
        <v>#VALUE!</v>
      </c>
      <c r="I298">
        <v>41</v>
      </c>
      <c r="J298" t="e">
        <f t="shared" si="16"/>
        <v>#VALUE!</v>
      </c>
      <c r="K298" t="e">
        <f t="shared" si="17"/>
        <v>#VALUE!</v>
      </c>
    </row>
    <row r="299" spans="2:11" x14ac:dyDescent="0.25">
      <c r="B299" s="4">
        <v>45814</v>
      </c>
      <c r="C299" s="2" t="s">
        <v>321</v>
      </c>
      <c r="E299" t="s">
        <v>73</v>
      </c>
      <c r="F299" t="s">
        <v>84</v>
      </c>
      <c r="G299" s="2">
        <v>0</v>
      </c>
      <c r="H299">
        <f t="shared" si="18"/>
        <v>1.4482999999999999</v>
      </c>
      <c r="I299">
        <v>41</v>
      </c>
      <c r="J299">
        <f t="shared" si="16"/>
        <v>59.380299999999998</v>
      </c>
      <c r="K299">
        <f t="shared" si="17"/>
        <v>59.380299999999998</v>
      </c>
    </row>
    <row r="300" spans="2:11" x14ac:dyDescent="0.25">
      <c r="B300" s="4">
        <v>45814</v>
      </c>
      <c r="C300" s="2" t="s">
        <v>321</v>
      </c>
      <c r="E300" t="s">
        <v>74</v>
      </c>
      <c r="F300" t="s">
        <v>84</v>
      </c>
      <c r="G300" s="2">
        <v>0</v>
      </c>
      <c r="H300">
        <f t="shared" si="18"/>
        <v>1.4482999999999999</v>
      </c>
      <c r="I300">
        <v>41</v>
      </c>
      <c r="J300">
        <f t="shared" si="16"/>
        <v>59.380299999999998</v>
      </c>
      <c r="K300">
        <f t="shared" si="17"/>
        <v>59.380299999999998</v>
      </c>
    </row>
    <row r="301" spans="2:11" x14ac:dyDescent="0.25">
      <c r="B301" s="4">
        <v>45814</v>
      </c>
      <c r="C301" s="2" t="s">
        <v>321</v>
      </c>
      <c r="E301" t="s">
        <v>75</v>
      </c>
      <c r="F301" t="s">
        <v>84</v>
      </c>
      <c r="G301" s="2">
        <v>3.0000000000000001E-3</v>
      </c>
      <c r="H301">
        <f t="shared" si="18"/>
        <v>2.5054699999999999</v>
      </c>
      <c r="I301">
        <v>41</v>
      </c>
      <c r="J301">
        <f t="shared" si="16"/>
        <v>102.72426999999999</v>
      </c>
      <c r="K301">
        <f t="shared" si="17"/>
        <v>102.72426999999999</v>
      </c>
    </row>
    <row r="302" spans="2:11" x14ac:dyDescent="0.25">
      <c r="B302" s="4">
        <v>45814</v>
      </c>
      <c r="C302" s="2" t="s">
        <v>321</v>
      </c>
      <c r="E302" t="s">
        <v>76</v>
      </c>
      <c r="F302" t="s">
        <v>84</v>
      </c>
      <c r="G302" s="2">
        <v>0</v>
      </c>
      <c r="H302">
        <f t="shared" si="18"/>
        <v>1.4482999999999999</v>
      </c>
      <c r="I302">
        <v>41</v>
      </c>
      <c r="J302">
        <f t="shared" si="16"/>
        <v>59.380299999999998</v>
      </c>
      <c r="K302">
        <f t="shared" si="17"/>
        <v>59.380299999999998</v>
      </c>
    </row>
    <row r="303" spans="2:11" x14ac:dyDescent="0.25">
      <c r="B303" s="4">
        <v>45814</v>
      </c>
      <c r="C303" s="2" t="s">
        <v>321</v>
      </c>
      <c r="E303" t="s">
        <v>77</v>
      </c>
      <c r="F303" t="s">
        <v>84</v>
      </c>
      <c r="G303" s="2">
        <v>2E-3</v>
      </c>
      <c r="H303">
        <f t="shared" si="18"/>
        <v>2.1530800000000001</v>
      </c>
      <c r="I303">
        <v>41</v>
      </c>
      <c r="J303">
        <f t="shared" si="16"/>
        <v>88.27628</v>
      </c>
      <c r="K303">
        <f t="shared" si="17"/>
        <v>88.27628</v>
      </c>
    </row>
    <row r="304" spans="2:11" x14ac:dyDescent="0.25">
      <c r="B304" s="4">
        <v>45814</v>
      </c>
      <c r="C304" s="2" t="s">
        <v>321</v>
      </c>
      <c r="E304" t="s">
        <v>78</v>
      </c>
      <c r="F304" t="s">
        <v>84</v>
      </c>
      <c r="G304" s="2">
        <v>0</v>
      </c>
      <c r="H304">
        <f t="shared" si="18"/>
        <v>1.4482999999999999</v>
      </c>
      <c r="I304">
        <v>41</v>
      </c>
      <c r="J304">
        <f t="shared" si="16"/>
        <v>59.380299999999998</v>
      </c>
      <c r="K304">
        <f t="shared" si="17"/>
        <v>59.380299999999998</v>
      </c>
    </row>
    <row r="305" spans="2:11" x14ac:dyDescent="0.25">
      <c r="B305" s="4">
        <v>45814</v>
      </c>
      <c r="C305" s="2" t="s">
        <v>321</v>
      </c>
      <c r="E305" t="s">
        <v>79</v>
      </c>
      <c r="F305" t="s">
        <v>84</v>
      </c>
      <c r="G305" s="2">
        <v>1E-3</v>
      </c>
      <c r="H305">
        <f t="shared" si="18"/>
        <v>1.8006899999999999</v>
      </c>
      <c r="I305">
        <v>41</v>
      </c>
      <c r="J305">
        <f t="shared" si="16"/>
        <v>73.828289999999996</v>
      </c>
      <c r="K305">
        <f t="shared" si="17"/>
        <v>73.828289999999996</v>
      </c>
    </row>
    <row r="306" spans="2:11" x14ac:dyDescent="0.25">
      <c r="B306" s="4">
        <v>45814</v>
      </c>
      <c r="C306" s="2" t="s">
        <v>321</v>
      </c>
      <c r="E306" t="s">
        <v>80</v>
      </c>
      <c r="F306" t="s">
        <v>84</v>
      </c>
      <c r="G306" s="2">
        <v>0</v>
      </c>
      <c r="H306">
        <f t="shared" si="18"/>
        <v>1.4482999999999999</v>
      </c>
      <c r="I306">
        <v>41</v>
      </c>
      <c r="J306">
        <f t="shared" si="16"/>
        <v>59.380299999999998</v>
      </c>
      <c r="K306">
        <f t="shared" si="17"/>
        <v>59.380299999999998</v>
      </c>
    </row>
    <row r="307" spans="2:11" x14ac:dyDescent="0.25">
      <c r="B307" s="4">
        <v>45814</v>
      </c>
      <c r="C307" s="2" t="s">
        <v>321</v>
      </c>
      <c r="E307" t="s">
        <v>81</v>
      </c>
      <c r="F307" t="s">
        <v>84</v>
      </c>
      <c r="G307" s="2">
        <v>8.9999999999999993E-3</v>
      </c>
      <c r="H307">
        <f t="shared" si="18"/>
        <v>4.6198099999999993</v>
      </c>
      <c r="I307">
        <v>41</v>
      </c>
      <c r="J307">
        <f t="shared" si="16"/>
        <v>189.41220999999996</v>
      </c>
      <c r="K307">
        <f t="shared" si="17"/>
        <v>189.41220999999996</v>
      </c>
    </row>
    <row r="308" spans="2:11" x14ac:dyDescent="0.25">
      <c r="B308" s="4">
        <v>45814</v>
      </c>
      <c r="C308" s="2" t="s">
        <v>321</v>
      </c>
      <c r="D308" t="s">
        <v>67</v>
      </c>
      <c r="E308">
        <v>1</v>
      </c>
      <c r="F308" t="s">
        <v>84</v>
      </c>
      <c r="G308" s="2">
        <v>3.2000000000000001E-2</v>
      </c>
      <c r="H308">
        <f t="shared" si="18"/>
        <v>12.724779999999999</v>
      </c>
      <c r="I308">
        <v>1</v>
      </c>
      <c r="J308">
        <f t="shared" si="16"/>
        <v>12.724779999999999</v>
      </c>
      <c r="K308">
        <f t="shared" si="17"/>
        <v>12.724779999999999</v>
      </c>
    </row>
    <row r="309" spans="2:11" x14ac:dyDescent="0.25">
      <c r="B309" s="4">
        <v>45814</v>
      </c>
      <c r="C309" s="2" t="s">
        <v>321</v>
      </c>
      <c r="D309" t="s">
        <v>67</v>
      </c>
      <c r="E309">
        <v>2</v>
      </c>
      <c r="F309" t="s">
        <v>84</v>
      </c>
      <c r="G309" s="2">
        <v>0.03</v>
      </c>
      <c r="H309">
        <f t="shared" si="18"/>
        <v>12.02</v>
      </c>
      <c r="I309">
        <v>1</v>
      </c>
      <c r="J309">
        <f t="shared" si="16"/>
        <v>12.02</v>
      </c>
      <c r="K309">
        <f t="shared" si="17"/>
        <v>12.02</v>
      </c>
    </row>
    <row r="310" spans="2:11" x14ac:dyDescent="0.25">
      <c r="B310" s="4">
        <v>45814</v>
      </c>
      <c r="C310" s="2" t="s">
        <v>321</v>
      </c>
      <c r="D310" t="s">
        <v>67</v>
      </c>
      <c r="E310">
        <v>3</v>
      </c>
      <c r="F310" t="s">
        <v>84</v>
      </c>
      <c r="G310" s="2">
        <v>2.4E-2</v>
      </c>
      <c r="H310">
        <f t="shared" si="18"/>
        <v>9.9056599999999992</v>
      </c>
      <c r="I310">
        <v>1</v>
      </c>
      <c r="J310">
        <f t="shared" si="16"/>
        <v>9.9056599999999992</v>
      </c>
      <c r="K310">
        <f t="shared" si="17"/>
        <v>9.9056599999999992</v>
      </c>
    </row>
    <row r="311" spans="2:11" x14ac:dyDescent="0.25">
      <c r="B311" s="4">
        <v>45814</v>
      </c>
      <c r="C311" s="2" t="s">
        <v>322</v>
      </c>
      <c r="E311" t="s">
        <v>73</v>
      </c>
      <c r="F311" t="s">
        <v>84</v>
      </c>
      <c r="G311" s="2">
        <v>5.0000000000000001E-3</v>
      </c>
      <c r="H311">
        <f t="shared" si="18"/>
        <v>3.2102499999999998</v>
      </c>
      <c r="I311">
        <v>41</v>
      </c>
      <c r="J311">
        <f t="shared" si="16"/>
        <v>131.62025</v>
      </c>
      <c r="K311">
        <f t="shared" si="17"/>
        <v>131.62025</v>
      </c>
    </row>
    <row r="312" spans="2:11" x14ac:dyDescent="0.25">
      <c r="B312" s="4">
        <v>45814</v>
      </c>
      <c r="C312" s="2" t="s">
        <v>322</v>
      </c>
      <c r="E312" t="s">
        <v>74</v>
      </c>
      <c r="F312" t="s">
        <v>84</v>
      </c>
      <c r="G312" s="2">
        <v>3.0000000000000001E-3</v>
      </c>
      <c r="H312">
        <f t="shared" si="18"/>
        <v>2.5054699999999999</v>
      </c>
      <c r="I312">
        <v>41</v>
      </c>
      <c r="J312">
        <f t="shared" si="16"/>
        <v>102.72426999999999</v>
      </c>
      <c r="K312">
        <f t="shared" si="17"/>
        <v>102.72426999999999</v>
      </c>
    </row>
    <row r="313" spans="2:11" x14ac:dyDescent="0.25">
      <c r="B313" s="4">
        <v>45814</v>
      </c>
      <c r="C313" s="2" t="s">
        <v>322</v>
      </c>
      <c r="E313" t="s">
        <v>75</v>
      </c>
      <c r="F313" t="s">
        <v>84</v>
      </c>
      <c r="G313" s="2">
        <v>5.0000000000000001E-3</v>
      </c>
      <c r="H313">
        <f t="shared" si="18"/>
        <v>3.2102499999999998</v>
      </c>
      <c r="I313">
        <v>41</v>
      </c>
      <c r="J313">
        <f t="shared" si="16"/>
        <v>131.62025</v>
      </c>
      <c r="K313">
        <f t="shared" si="17"/>
        <v>131.62025</v>
      </c>
    </row>
    <row r="314" spans="2:11" x14ac:dyDescent="0.25">
      <c r="B314" s="4">
        <v>45814</v>
      </c>
      <c r="C314" s="2" t="s">
        <v>322</v>
      </c>
      <c r="E314" t="s">
        <v>76</v>
      </c>
      <c r="F314" t="s">
        <v>84</v>
      </c>
      <c r="G314" s="2">
        <v>2.5999999999999999E-2</v>
      </c>
      <c r="H314">
        <f t="shared" si="18"/>
        <v>10.610439999999999</v>
      </c>
      <c r="I314">
        <v>41</v>
      </c>
      <c r="J314">
        <f t="shared" si="16"/>
        <v>435.02803999999998</v>
      </c>
      <c r="K314">
        <f t="shared" si="17"/>
        <v>435.02803999999998</v>
      </c>
    </row>
    <row r="315" spans="2:11" x14ac:dyDescent="0.25">
      <c r="B315" s="4">
        <v>45814</v>
      </c>
      <c r="C315" s="2" t="s">
        <v>322</v>
      </c>
      <c r="E315" t="s">
        <v>77</v>
      </c>
      <c r="F315" t="s">
        <v>84</v>
      </c>
      <c r="G315" s="2">
        <v>8.0000000000000002E-3</v>
      </c>
      <c r="H315">
        <f t="shared" si="18"/>
        <v>4.2674199999999995</v>
      </c>
      <c r="I315">
        <v>41</v>
      </c>
      <c r="J315">
        <f t="shared" si="16"/>
        <v>174.96421999999998</v>
      </c>
      <c r="K315">
        <f t="shared" si="17"/>
        <v>174.96421999999998</v>
      </c>
    </row>
    <row r="316" spans="2:11" x14ac:dyDescent="0.25">
      <c r="B316" s="4">
        <v>45814</v>
      </c>
      <c r="C316" s="2" t="s">
        <v>322</v>
      </c>
      <c r="E316" t="s">
        <v>78</v>
      </c>
      <c r="F316" t="s">
        <v>84</v>
      </c>
      <c r="G316" s="2">
        <v>2E-3</v>
      </c>
      <c r="H316">
        <f t="shared" si="18"/>
        <v>2.1530800000000001</v>
      </c>
      <c r="I316">
        <v>41</v>
      </c>
      <c r="J316">
        <f t="shared" si="16"/>
        <v>88.27628</v>
      </c>
      <c r="K316">
        <f t="shared" si="17"/>
        <v>88.27628</v>
      </c>
    </row>
    <row r="317" spans="2:11" x14ac:dyDescent="0.25">
      <c r="B317" s="4">
        <v>45814</v>
      </c>
      <c r="C317" s="2" t="s">
        <v>322</v>
      </c>
      <c r="E317" t="s">
        <v>79</v>
      </c>
      <c r="F317" t="s">
        <v>84</v>
      </c>
      <c r="G317" s="2">
        <v>2.5999999999999999E-2</v>
      </c>
      <c r="H317">
        <f t="shared" si="18"/>
        <v>10.610439999999999</v>
      </c>
      <c r="I317">
        <v>41</v>
      </c>
      <c r="J317">
        <f t="shared" si="16"/>
        <v>435.02803999999998</v>
      </c>
      <c r="K317">
        <f t="shared" si="17"/>
        <v>435.02803999999998</v>
      </c>
    </row>
    <row r="318" spans="2:11" x14ac:dyDescent="0.25">
      <c r="B318" s="4">
        <v>45814</v>
      </c>
      <c r="C318" s="2" t="s">
        <v>322</v>
      </c>
      <c r="E318" t="s">
        <v>80</v>
      </c>
      <c r="F318" t="s">
        <v>84</v>
      </c>
      <c r="G318" s="2">
        <v>0</v>
      </c>
      <c r="H318">
        <f t="shared" si="18"/>
        <v>1.4482999999999999</v>
      </c>
      <c r="I318">
        <v>41</v>
      </c>
      <c r="J318">
        <f t="shared" si="16"/>
        <v>59.380299999999998</v>
      </c>
      <c r="K318">
        <f t="shared" si="17"/>
        <v>59.380299999999998</v>
      </c>
    </row>
    <row r="319" spans="2:11" x14ac:dyDescent="0.25">
      <c r="B319" s="4">
        <v>45814</v>
      </c>
      <c r="C319" s="2" t="s">
        <v>322</v>
      </c>
      <c r="E319" t="s">
        <v>81</v>
      </c>
      <c r="F319" t="s">
        <v>84</v>
      </c>
      <c r="G319" s="2">
        <v>7.0000000000000001E-3</v>
      </c>
      <c r="H319">
        <f t="shared" si="18"/>
        <v>3.9150299999999998</v>
      </c>
      <c r="I319">
        <v>41</v>
      </c>
      <c r="J319">
        <f t="shared" si="16"/>
        <v>160.51622999999998</v>
      </c>
      <c r="K319">
        <f t="shared" si="17"/>
        <v>160.51622999999998</v>
      </c>
    </row>
    <row r="320" spans="2:11" x14ac:dyDescent="0.25">
      <c r="B320" s="4">
        <v>45814</v>
      </c>
      <c r="C320" s="2" t="s">
        <v>322</v>
      </c>
      <c r="D320" t="s">
        <v>67</v>
      </c>
      <c r="E320">
        <v>1</v>
      </c>
      <c r="F320" t="s">
        <v>84</v>
      </c>
      <c r="G320" s="2">
        <v>2.1000000000000001E-2</v>
      </c>
      <c r="H320">
        <f t="shared" si="18"/>
        <v>8.84849</v>
      </c>
      <c r="I320">
        <v>1</v>
      </c>
      <c r="J320">
        <f t="shared" si="16"/>
        <v>8.84849</v>
      </c>
      <c r="K320">
        <f t="shared" si="17"/>
        <v>8.84849</v>
      </c>
    </row>
    <row r="321" spans="2:11" x14ac:dyDescent="0.25">
      <c r="B321" s="4">
        <v>45814</v>
      </c>
      <c r="C321" s="2" t="s">
        <v>322</v>
      </c>
      <c r="D321" t="s">
        <v>67</v>
      </c>
      <c r="E321">
        <v>2</v>
      </c>
      <c r="F321" t="s">
        <v>84</v>
      </c>
      <c r="G321" s="2">
        <v>3.2000000000000001E-2</v>
      </c>
      <c r="H321">
        <f t="shared" si="18"/>
        <v>12.724779999999999</v>
      </c>
      <c r="I321">
        <v>1</v>
      </c>
      <c r="J321">
        <f t="shared" si="16"/>
        <v>12.724779999999999</v>
      </c>
      <c r="K321">
        <f t="shared" si="17"/>
        <v>12.724779999999999</v>
      </c>
    </row>
    <row r="322" spans="2:11" x14ac:dyDescent="0.25">
      <c r="B322" s="4">
        <v>45814</v>
      </c>
      <c r="C322" s="2" t="s">
        <v>322</v>
      </c>
      <c r="D322" t="s">
        <v>67</v>
      </c>
      <c r="E322">
        <v>3</v>
      </c>
      <c r="F322" t="s">
        <v>84</v>
      </c>
      <c r="G322" s="2">
        <v>3.2000000000000001E-2</v>
      </c>
      <c r="H322">
        <f t="shared" si="18"/>
        <v>12.724779999999999</v>
      </c>
      <c r="I322">
        <v>1</v>
      </c>
      <c r="J322">
        <f t="shared" ref="J322:J385" si="19">H322*I322</f>
        <v>12.724779999999999</v>
      </c>
      <c r="K322">
        <f t="shared" si="17"/>
        <v>12.724779999999999</v>
      </c>
    </row>
    <row r="323" spans="2:11" x14ac:dyDescent="0.25">
      <c r="B323" s="4">
        <v>45814</v>
      </c>
      <c r="C323" s="2" t="s">
        <v>323</v>
      </c>
      <c r="E323" t="s">
        <v>73</v>
      </c>
      <c r="F323" t="s">
        <v>84</v>
      </c>
      <c r="G323" s="2">
        <v>8.0000000000000002E-3</v>
      </c>
      <c r="H323">
        <f t="shared" si="18"/>
        <v>4.2674199999999995</v>
      </c>
      <c r="I323">
        <v>41</v>
      </c>
      <c r="J323">
        <f t="shared" si="19"/>
        <v>174.96421999999998</v>
      </c>
      <c r="K323">
        <f t="shared" ref="K323:K386" si="20">MAX(J323,0)</f>
        <v>174.96421999999998</v>
      </c>
    </row>
    <row r="324" spans="2:11" x14ac:dyDescent="0.25">
      <c r="B324" s="4">
        <v>45814</v>
      </c>
      <c r="C324" s="2" t="s">
        <v>323</v>
      </c>
      <c r="E324" t="s">
        <v>74</v>
      </c>
      <c r="F324" t="s">
        <v>84</v>
      </c>
      <c r="G324" s="2">
        <v>7.0000000000000001E-3</v>
      </c>
      <c r="H324">
        <f t="shared" si="18"/>
        <v>3.9150299999999998</v>
      </c>
      <c r="I324">
        <v>41</v>
      </c>
      <c r="J324">
        <f t="shared" si="19"/>
        <v>160.51622999999998</v>
      </c>
      <c r="K324">
        <f t="shared" si="20"/>
        <v>160.51622999999998</v>
      </c>
    </row>
    <row r="325" spans="2:11" x14ac:dyDescent="0.25">
      <c r="B325" s="4">
        <v>45814</v>
      </c>
      <c r="C325" s="2" t="s">
        <v>323</v>
      </c>
      <c r="E325" t="s">
        <v>75</v>
      </c>
      <c r="F325" t="s">
        <v>84</v>
      </c>
      <c r="G325" s="2">
        <v>5.0000000000000001E-3</v>
      </c>
      <c r="H325">
        <f t="shared" si="18"/>
        <v>3.2102499999999998</v>
      </c>
      <c r="I325">
        <v>41</v>
      </c>
      <c r="J325">
        <f t="shared" si="19"/>
        <v>131.62025</v>
      </c>
      <c r="K325">
        <f t="shared" si="20"/>
        <v>131.62025</v>
      </c>
    </row>
    <row r="326" spans="2:11" x14ac:dyDescent="0.25">
      <c r="B326" s="4">
        <v>45814</v>
      </c>
      <c r="C326" s="2" t="s">
        <v>323</v>
      </c>
      <c r="D326" t="s">
        <v>67</v>
      </c>
      <c r="E326">
        <v>1</v>
      </c>
      <c r="F326" t="s">
        <v>84</v>
      </c>
      <c r="G326" s="2">
        <v>3.4000000000000002E-2</v>
      </c>
      <c r="H326">
        <f t="shared" si="18"/>
        <v>13.42956</v>
      </c>
      <c r="I326">
        <v>1</v>
      </c>
      <c r="J326">
        <f t="shared" si="19"/>
        <v>13.42956</v>
      </c>
      <c r="K326">
        <f t="shared" si="20"/>
        <v>13.42956</v>
      </c>
    </row>
    <row r="327" spans="2:11" x14ac:dyDescent="0.25">
      <c r="B327" s="4">
        <v>45814</v>
      </c>
      <c r="C327" s="2" t="s">
        <v>323</v>
      </c>
      <c r="D327" t="s">
        <v>67</v>
      </c>
      <c r="E327">
        <v>2</v>
      </c>
      <c r="F327" t="s">
        <v>84</v>
      </c>
      <c r="G327" s="2">
        <v>2.1000000000000001E-2</v>
      </c>
      <c r="H327">
        <f t="shared" si="18"/>
        <v>8.84849</v>
      </c>
      <c r="I327">
        <v>1</v>
      </c>
      <c r="J327">
        <f t="shared" si="19"/>
        <v>8.84849</v>
      </c>
      <c r="K327">
        <f t="shared" si="20"/>
        <v>8.84849</v>
      </c>
    </row>
    <row r="328" spans="2:11" x14ac:dyDescent="0.25">
      <c r="B328" s="4">
        <v>45814</v>
      </c>
      <c r="C328" s="2" t="s">
        <v>323</v>
      </c>
      <c r="D328" t="s">
        <v>67</v>
      </c>
      <c r="E328">
        <v>3</v>
      </c>
      <c r="F328" t="s">
        <v>84</v>
      </c>
      <c r="G328" s="2">
        <v>1.9E-2</v>
      </c>
      <c r="H328">
        <f t="shared" si="18"/>
        <v>8.1437100000000004</v>
      </c>
      <c r="I328">
        <v>1</v>
      </c>
      <c r="J328">
        <f t="shared" si="19"/>
        <v>8.1437100000000004</v>
      </c>
      <c r="K328">
        <f t="shared" si="20"/>
        <v>8.1437100000000004</v>
      </c>
    </row>
    <row r="329" spans="2:11" x14ac:dyDescent="0.25">
      <c r="B329" s="4">
        <v>45815</v>
      </c>
      <c r="C329" t="s">
        <v>70</v>
      </c>
      <c r="E329" t="s">
        <v>13</v>
      </c>
      <c r="F329" t="s">
        <v>84</v>
      </c>
      <c r="G329" s="2">
        <v>2.5999999999999999E-2</v>
      </c>
      <c r="H329">
        <f t="shared" si="18"/>
        <v>10.610439999999999</v>
      </c>
      <c r="I329">
        <v>41</v>
      </c>
      <c r="J329">
        <f t="shared" si="19"/>
        <v>435.02803999999998</v>
      </c>
      <c r="K329">
        <f t="shared" si="20"/>
        <v>435.02803999999998</v>
      </c>
    </row>
    <row r="330" spans="2:11" x14ac:dyDescent="0.25">
      <c r="B330" s="4">
        <v>45815</v>
      </c>
      <c r="C330" t="s">
        <v>70</v>
      </c>
      <c r="E330" t="s">
        <v>14</v>
      </c>
      <c r="F330" t="s">
        <v>84</v>
      </c>
      <c r="G330" s="2">
        <v>2.8000000000000001E-2</v>
      </c>
      <c r="H330">
        <f t="shared" si="18"/>
        <v>11.31522</v>
      </c>
      <c r="I330">
        <v>41</v>
      </c>
      <c r="J330">
        <f t="shared" si="19"/>
        <v>463.92401999999998</v>
      </c>
      <c r="K330">
        <f t="shared" si="20"/>
        <v>463.92401999999998</v>
      </c>
    </row>
    <row r="331" spans="2:11" x14ac:dyDescent="0.25">
      <c r="B331" s="4">
        <v>45815</v>
      </c>
      <c r="C331" t="s">
        <v>70</v>
      </c>
      <c r="E331" t="s">
        <v>15</v>
      </c>
      <c r="F331" t="s">
        <v>84</v>
      </c>
      <c r="G331" s="2">
        <v>1.9E-2</v>
      </c>
      <c r="H331">
        <f t="shared" si="18"/>
        <v>8.1437100000000004</v>
      </c>
      <c r="I331">
        <v>41</v>
      </c>
      <c r="J331">
        <f t="shared" si="19"/>
        <v>333.89211</v>
      </c>
      <c r="K331">
        <f t="shared" si="20"/>
        <v>333.89211</v>
      </c>
    </row>
    <row r="332" spans="2:11" x14ac:dyDescent="0.25">
      <c r="B332" s="4">
        <v>45815</v>
      </c>
      <c r="C332" t="s">
        <v>70</v>
      </c>
      <c r="E332" t="s">
        <v>61</v>
      </c>
      <c r="F332" t="s">
        <v>84</v>
      </c>
      <c r="G332" s="2">
        <v>3.6999999999999998E-2</v>
      </c>
      <c r="H332">
        <f t="shared" si="18"/>
        <v>14.486729999999998</v>
      </c>
      <c r="I332">
        <v>41</v>
      </c>
      <c r="J332">
        <f t="shared" si="19"/>
        <v>593.95592999999997</v>
      </c>
      <c r="K332">
        <f t="shared" si="20"/>
        <v>593.95592999999997</v>
      </c>
    </row>
    <row r="333" spans="2:11" x14ac:dyDescent="0.25">
      <c r="B333" s="4">
        <v>45815</v>
      </c>
      <c r="C333" t="s">
        <v>70</v>
      </c>
      <c r="E333" t="s">
        <v>16</v>
      </c>
      <c r="F333" t="s">
        <v>84</v>
      </c>
      <c r="G333" s="2">
        <v>6.0000000000000001E-3</v>
      </c>
      <c r="H333">
        <f t="shared" ref="H333:H396" si="21">(352.39*G333)+1.4483</f>
        <v>3.56264</v>
      </c>
      <c r="I333">
        <v>41</v>
      </c>
      <c r="J333">
        <f t="shared" si="19"/>
        <v>146.06824</v>
      </c>
      <c r="K333">
        <f t="shared" si="20"/>
        <v>146.06824</v>
      </c>
    </row>
    <row r="334" spans="2:11" x14ac:dyDescent="0.25">
      <c r="B334" s="4">
        <v>45815</v>
      </c>
      <c r="C334" t="s">
        <v>70</v>
      </c>
      <c r="E334" t="s">
        <v>17</v>
      </c>
      <c r="F334" t="s">
        <v>84</v>
      </c>
      <c r="G334" s="2">
        <v>0.03</v>
      </c>
      <c r="H334">
        <f t="shared" si="21"/>
        <v>12.02</v>
      </c>
      <c r="I334">
        <v>41</v>
      </c>
      <c r="J334">
        <f t="shared" si="19"/>
        <v>492.82</v>
      </c>
      <c r="K334">
        <f t="shared" si="20"/>
        <v>492.82</v>
      </c>
    </row>
    <row r="335" spans="2:11" x14ac:dyDescent="0.25">
      <c r="B335" s="4">
        <v>45815</v>
      </c>
      <c r="C335" t="s">
        <v>70</v>
      </c>
      <c r="E335" t="s">
        <v>12</v>
      </c>
      <c r="F335" t="s">
        <v>84</v>
      </c>
      <c r="G335" s="2">
        <v>3.2000000000000001E-2</v>
      </c>
      <c r="H335">
        <f t="shared" si="21"/>
        <v>12.724779999999999</v>
      </c>
      <c r="I335">
        <v>41</v>
      </c>
      <c r="J335">
        <f t="shared" si="19"/>
        <v>521.71597999999994</v>
      </c>
      <c r="K335">
        <f t="shared" si="20"/>
        <v>521.71597999999994</v>
      </c>
    </row>
    <row r="336" spans="2:11" x14ac:dyDescent="0.25">
      <c r="B336" s="4">
        <v>45815</v>
      </c>
      <c r="C336" t="s">
        <v>70</v>
      </c>
      <c r="E336" t="s">
        <v>62</v>
      </c>
      <c r="F336" t="s">
        <v>84</v>
      </c>
      <c r="G336" s="2">
        <v>3.5999999999999997E-2</v>
      </c>
      <c r="H336">
        <f t="shared" si="21"/>
        <v>14.134339999999998</v>
      </c>
      <c r="I336">
        <v>41</v>
      </c>
      <c r="J336">
        <f t="shared" si="19"/>
        <v>579.50793999999996</v>
      </c>
      <c r="K336">
        <f t="shared" si="20"/>
        <v>579.50793999999996</v>
      </c>
    </row>
    <row r="337" spans="2:11" x14ac:dyDescent="0.25">
      <c r="B337" s="4">
        <v>45815</v>
      </c>
      <c r="C337" t="s">
        <v>70</v>
      </c>
      <c r="E337" t="s">
        <v>18</v>
      </c>
      <c r="F337" t="s">
        <v>84</v>
      </c>
      <c r="G337" s="2">
        <v>0.03</v>
      </c>
      <c r="H337">
        <f t="shared" si="21"/>
        <v>12.02</v>
      </c>
      <c r="I337">
        <v>41</v>
      </c>
      <c r="J337">
        <f t="shared" si="19"/>
        <v>492.82</v>
      </c>
      <c r="K337">
        <f t="shared" si="20"/>
        <v>492.82</v>
      </c>
    </row>
    <row r="338" spans="2:11" x14ac:dyDescent="0.25">
      <c r="B338" s="4">
        <v>45815</v>
      </c>
      <c r="C338" t="s">
        <v>70</v>
      </c>
      <c r="E338" t="s">
        <v>19</v>
      </c>
      <c r="F338" t="s">
        <v>84</v>
      </c>
      <c r="G338" s="2">
        <v>3.4000000000000002E-2</v>
      </c>
      <c r="H338">
        <f t="shared" si="21"/>
        <v>13.42956</v>
      </c>
      <c r="I338">
        <v>41</v>
      </c>
      <c r="J338">
        <f t="shared" si="19"/>
        <v>550.61196000000007</v>
      </c>
      <c r="K338">
        <f t="shared" si="20"/>
        <v>550.61196000000007</v>
      </c>
    </row>
    <row r="339" spans="2:11" x14ac:dyDescent="0.25">
      <c r="B339" s="4">
        <v>45815</v>
      </c>
      <c r="C339" t="s">
        <v>70</v>
      </c>
      <c r="E339" t="s">
        <v>20</v>
      </c>
      <c r="F339" t="s">
        <v>84</v>
      </c>
      <c r="G339" s="2">
        <v>5.7000000000000002E-2</v>
      </c>
      <c r="H339">
        <f t="shared" si="21"/>
        <v>21.53453</v>
      </c>
      <c r="I339">
        <v>41</v>
      </c>
      <c r="J339">
        <f t="shared" si="19"/>
        <v>882.91573000000005</v>
      </c>
      <c r="K339">
        <f t="shared" si="20"/>
        <v>882.91573000000005</v>
      </c>
    </row>
    <row r="340" spans="2:11" x14ac:dyDescent="0.25">
      <c r="B340" s="4">
        <v>45815</v>
      </c>
      <c r="C340" t="s">
        <v>70</v>
      </c>
      <c r="E340" t="s">
        <v>63</v>
      </c>
      <c r="F340" t="s">
        <v>84</v>
      </c>
      <c r="G340" s="2">
        <v>4.9000000000000002E-2</v>
      </c>
      <c r="H340">
        <f t="shared" si="21"/>
        <v>18.715409999999999</v>
      </c>
      <c r="I340">
        <v>41</v>
      </c>
      <c r="J340">
        <f t="shared" si="19"/>
        <v>767.3318099999999</v>
      </c>
      <c r="K340">
        <f t="shared" si="20"/>
        <v>767.3318099999999</v>
      </c>
    </row>
    <row r="341" spans="2:11" x14ac:dyDescent="0.25">
      <c r="B341" s="4">
        <v>45815</v>
      </c>
      <c r="C341" t="s">
        <v>70</v>
      </c>
      <c r="E341" t="s">
        <v>21</v>
      </c>
      <c r="F341" t="s">
        <v>84</v>
      </c>
      <c r="G341" s="2">
        <v>2.9000000000000001E-2</v>
      </c>
      <c r="H341">
        <f t="shared" si="21"/>
        <v>11.66761</v>
      </c>
      <c r="I341">
        <v>41</v>
      </c>
      <c r="J341">
        <f t="shared" si="19"/>
        <v>478.37200999999999</v>
      </c>
      <c r="K341">
        <f t="shared" si="20"/>
        <v>478.37200999999999</v>
      </c>
    </row>
    <row r="342" spans="2:11" x14ac:dyDescent="0.25">
      <c r="B342" s="4">
        <v>45815</v>
      </c>
      <c r="C342" t="s">
        <v>70</v>
      </c>
      <c r="E342" t="s">
        <v>22</v>
      </c>
      <c r="F342" t="s">
        <v>84</v>
      </c>
      <c r="G342" s="2">
        <v>5.3999999999999999E-2</v>
      </c>
      <c r="H342">
        <f t="shared" si="21"/>
        <v>20.477359999999997</v>
      </c>
      <c r="I342">
        <v>41</v>
      </c>
      <c r="J342">
        <f t="shared" si="19"/>
        <v>839.57175999999993</v>
      </c>
      <c r="K342">
        <f t="shared" si="20"/>
        <v>839.57175999999993</v>
      </c>
    </row>
    <row r="343" spans="2:11" x14ac:dyDescent="0.25">
      <c r="B343" s="4">
        <v>45815</v>
      </c>
      <c r="C343" t="s">
        <v>70</v>
      </c>
      <c r="E343" t="s">
        <v>23</v>
      </c>
      <c r="F343" t="s">
        <v>84</v>
      </c>
      <c r="G343" s="2">
        <v>3.4000000000000002E-2</v>
      </c>
      <c r="H343">
        <f t="shared" si="21"/>
        <v>13.42956</v>
      </c>
      <c r="I343">
        <v>41</v>
      </c>
      <c r="J343">
        <f t="shared" si="19"/>
        <v>550.61196000000007</v>
      </c>
      <c r="K343">
        <f t="shared" si="20"/>
        <v>550.61196000000007</v>
      </c>
    </row>
    <row r="344" spans="2:11" x14ac:dyDescent="0.25">
      <c r="B344" s="4">
        <v>45815</v>
      </c>
      <c r="C344" t="s">
        <v>70</v>
      </c>
      <c r="E344" t="s">
        <v>64</v>
      </c>
      <c r="F344" t="s">
        <v>84</v>
      </c>
      <c r="G344" s="2">
        <v>2.9000000000000001E-2</v>
      </c>
      <c r="H344">
        <f t="shared" si="21"/>
        <v>11.66761</v>
      </c>
      <c r="I344">
        <v>41</v>
      </c>
      <c r="J344">
        <f t="shared" si="19"/>
        <v>478.37200999999999</v>
      </c>
      <c r="K344">
        <f t="shared" si="20"/>
        <v>478.37200999999999</v>
      </c>
    </row>
    <row r="345" spans="2:11" x14ac:dyDescent="0.25">
      <c r="B345" s="4">
        <v>45815</v>
      </c>
      <c r="C345" t="s">
        <v>70</v>
      </c>
      <c r="E345" t="s">
        <v>24</v>
      </c>
      <c r="F345" t="s">
        <v>84</v>
      </c>
      <c r="G345" s="2">
        <v>2.5000000000000001E-2</v>
      </c>
      <c r="H345">
        <f t="shared" si="21"/>
        <v>10.258049999999999</v>
      </c>
      <c r="I345">
        <v>41</v>
      </c>
      <c r="J345">
        <f t="shared" si="19"/>
        <v>420.58004999999997</v>
      </c>
      <c r="K345">
        <f t="shared" si="20"/>
        <v>420.58004999999997</v>
      </c>
    </row>
    <row r="346" spans="2:11" x14ac:dyDescent="0.25">
      <c r="B346" s="4">
        <v>45815</v>
      </c>
      <c r="C346" t="s">
        <v>70</v>
      </c>
      <c r="E346" t="s">
        <v>25</v>
      </c>
      <c r="F346" t="s">
        <v>84</v>
      </c>
      <c r="G346" s="2">
        <v>4.0000000000000001E-3</v>
      </c>
      <c r="H346">
        <f t="shared" si="21"/>
        <v>2.8578599999999996</v>
      </c>
      <c r="I346">
        <v>41</v>
      </c>
      <c r="J346">
        <f t="shared" si="19"/>
        <v>117.17225999999998</v>
      </c>
      <c r="K346">
        <f t="shared" si="20"/>
        <v>117.17225999999998</v>
      </c>
    </row>
    <row r="347" spans="2:11" x14ac:dyDescent="0.25">
      <c r="B347" s="4">
        <v>45815</v>
      </c>
      <c r="C347" t="s">
        <v>70</v>
      </c>
      <c r="E347" t="s">
        <v>26</v>
      </c>
      <c r="F347" t="s">
        <v>84</v>
      </c>
      <c r="G347" s="2">
        <v>5.0000000000000001E-3</v>
      </c>
      <c r="H347">
        <f t="shared" si="21"/>
        <v>3.2102499999999998</v>
      </c>
      <c r="I347">
        <v>41</v>
      </c>
      <c r="J347">
        <f t="shared" si="19"/>
        <v>131.62025</v>
      </c>
      <c r="K347">
        <f t="shared" si="20"/>
        <v>131.62025</v>
      </c>
    </row>
    <row r="348" spans="2:11" x14ac:dyDescent="0.25">
      <c r="B348" s="4">
        <v>45815</v>
      </c>
      <c r="C348" t="s">
        <v>70</v>
      </c>
      <c r="E348" t="s">
        <v>65</v>
      </c>
      <c r="F348" t="s">
        <v>84</v>
      </c>
      <c r="G348" s="2">
        <v>5.0000000000000001E-3</v>
      </c>
      <c r="H348">
        <f t="shared" si="21"/>
        <v>3.2102499999999998</v>
      </c>
      <c r="I348">
        <v>41</v>
      </c>
      <c r="J348">
        <f t="shared" si="19"/>
        <v>131.62025</v>
      </c>
      <c r="K348">
        <f t="shared" si="20"/>
        <v>131.62025</v>
      </c>
    </row>
    <row r="349" spans="2:11" x14ac:dyDescent="0.25">
      <c r="B349" s="4">
        <v>45815</v>
      </c>
      <c r="C349" t="s">
        <v>70</v>
      </c>
      <c r="E349" t="s">
        <v>27</v>
      </c>
      <c r="F349" t="s">
        <v>84</v>
      </c>
      <c r="G349" s="2">
        <v>4.0000000000000001E-3</v>
      </c>
      <c r="H349">
        <f t="shared" si="21"/>
        <v>2.8578599999999996</v>
      </c>
      <c r="I349">
        <v>41</v>
      </c>
      <c r="J349">
        <f t="shared" si="19"/>
        <v>117.17225999999998</v>
      </c>
      <c r="K349">
        <f t="shared" si="20"/>
        <v>117.17225999999998</v>
      </c>
    </row>
    <row r="350" spans="2:11" x14ac:dyDescent="0.25">
      <c r="B350" s="4">
        <v>45815</v>
      </c>
      <c r="C350" t="s">
        <v>70</v>
      </c>
      <c r="E350" t="s">
        <v>28</v>
      </c>
      <c r="F350" t="s">
        <v>84</v>
      </c>
      <c r="G350" s="2">
        <v>1.2999999999999999E-2</v>
      </c>
      <c r="H350">
        <f t="shared" si="21"/>
        <v>6.0293699999999992</v>
      </c>
      <c r="I350">
        <v>41</v>
      </c>
      <c r="J350">
        <f t="shared" si="19"/>
        <v>247.20416999999998</v>
      </c>
      <c r="K350">
        <f t="shared" si="20"/>
        <v>247.20416999999998</v>
      </c>
    </row>
    <row r="351" spans="2:11" x14ac:dyDescent="0.25">
      <c r="B351" s="4">
        <v>45815</v>
      </c>
      <c r="C351" t="s">
        <v>70</v>
      </c>
      <c r="E351" t="s">
        <v>29</v>
      </c>
      <c r="F351" t="s">
        <v>84</v>
      </c>
      <c r="G351" s="2">
        <v>8.0000000000000002E-3</v>
      </c>
      <c r="H351">
        <f t="shared" si="21"/>
        <v>4.2674199999999995</v>
      </c>
      <c r="I351">
        <v>41</v>
      </c>
      <c r="J351">
        <f t="shared" si="19"/>
        <v>174.96421999999998</v>
      </c>
      <c r="K351">
        <f t="shared" si="20"/>
        <v>174.96421999999998</v>
      </c>
    </row>
    <row r="352" spans="2:11" x14ac:dyDescent="0.25">
      <c r="B352" s="4">
        <v>45815</v>
      </c>
      <c r="C352" t="s">
        <v>70</v>
      </c>
      <c r="E352" t="s">
        <v>66</v>
      </c>
      <c r="F352" t="s">
        <v>84</v>
      </c>
      <c r="G352" s="2">
        <v>2.1999999999999999E-2</v>
      </c>
      <c r="H352">
        <f t="shared" si="21"/>
        <v>9.2008799999999997</v>
      </c>
      <c r="I352">
        <v>41</v>
      </c>
      <c r="J352">
        <f t="shared" si="19"/>
        <v>377.23608000000002</v>
      </c>
      <c r="K352">
        <f t="shared" si="20"/>
        <v>377.23608000000002</v>
      </c>
    </row>
    <row r="353" spans="2:11" x14ac:dyDescent="0.25">
      <c r="B353" s="4">
        <v>45815</v>
      </c>
      <c r="C353" t="s">
        <v>70</v>
      </c>
      <c r="D353" t="s">
        <v>67</v>
      </c>
      <c r="E353">
        <v>1</v>
      </c>
      <c r="F353" t="s">
        <v>84</v>
      </c>
      <c r="G353" s="2">
        <v>5.0000000000000001E-3</v>
      </c>
      <c r="H353">
        <f t="shared" si="21"/>
        <v>3.2102499999999998</v>
      </c>
      <c r="I353">
        <v>1</v>
      </c>
      <c r="J353">
        <f t="shared" si="19"/>
        <v>3.2102499999999998</v>
      </c>
      <c r="K353">
        <f t="shared" si="20"/>
        <v>3.2102499999999998</v>
      </c>
    </row>
    <row r="354" spans="2:11" x14ac:dyDescent="0.25">
      <c r="B354" s="4">
        <v>45815</v>
      </c>
      <c r="C354" t="s">
        <v>70</v>
      </c>
      <c r="D354" t="s">
        <v>67</v>
      </c>
      <c r="E354">
        <v>2</v>
      </c>
      <c r="F354" t="s">
        <v>84</v>
      </c>
      <c r="G354" s="2">
        <v>0</v>
      </c>
      <c r="H354">
        <f t="shared" si="21"/>
        <v>1.4482999999999999</v>
      </c>
      <c r="I354">
        <v>1</v>
      </c>
      <c r="J354">
        <f t="shared" si="19"/>
        <v>1.4482999999999999</v>
      </c>
      <c r="K354">
        <f t="shared" si="20"/>
        <v>1.4482999999999999</v>
      </c>
    </row>
    <row r="355" spans="2:11" x14ac:dyDescent="0.25">
      <c r="B355" s="4">
        <v>45815</v>
      </c>
      <c r="C355" t="s">
        <v>70</v>
      </c>
      <c r="D355" t="s">
        <v>67</v>
      </c>
      <c r="E355">
        <v>3</v>
      </c>
      <c r="F355" t="s">
        <v>84</v>
      </c>
      <c r="G355" s="2">
        <v>0.05</v>
      </c>
      <c r="H355">
        <f t="shared" si="21"/>
        <v>19.067799999999998</v>
      </c>
      <c r="I355">
        <v>1</v>
      </c>
      <c r="J355">
        <f t="shared" si="19"/>
        <v>19.067799999999998</v>
      </c>
      <c r="K355">
        <f t="shared" si="20"/>
        <v>19.067799999999998</v>
      </c>
    </row>
    <row r="356" spans="2:11" x14ac:dyDescent="0.25">
      <c r="B356" s="4">
        <v>45815</v>
      </c>
      <c r="C356" t="s">
        <v>71</v>
      </c>
      <c r="E356" t="s">
        <v>13</v>
      </c>
      <c r="F356" t="s">
        <v>84</v>
      </c>
      <c r="G356" s="2">
        <v>2.1999999999999999E-2</v>
      </c>
      <c r="H356">
        <f t="shared" si="21"/>
        <v>9.2008799999999997</v>
      </c>
      <c r="I356">
        <v>41</v>
      </c>
      <c r="J356">
        <f t="shared" si="19"/>
        <v>377.23608000000002</v>
      </c>
      <c r="K356">
        <f t="shared" si="20"/>
        <v>377.23608000000002</v>
      </c>
    </row>
    <row r="357" spans="2:11" x14ac:dyDescent="0.25">
      <c r="B357" s="4">
        <v>45815</v>
      </c>
      <c r="C357" t="s">
        <v>71</v>
      </c>
      <c r="E357" t="s">
        <v>14</v>
      </c>
      <c r="F357" t="s">
        <v>84</v>
      </c>
      <c r="G357" s="2">
        <v>2.9000000000000001E-2</v>
      </c>
      <c r="H357">
        <f t="shared" si="21"/>
        <v>11.66761</v>
      </c>
      <c r="I357">
        <v>41</v>
      </c>
      <c r="J357">
        <f t="shared" si="19"/>
        <v>478.37200999999999</v>
      </c>
      <c r="K357">
        <f t="shared" si="20"/>
        <v>478.37200999999999</v>
      </c>
    </row>
    <row r="358" spans="2:11" x14ac:dyDescent="0.25">
      <c r="B358" s="4">
        <v>45815</v>
      </c>
      <c r="C358" t="s">
        <v>71</v>
      </c>
      <c r="E358" t="s">
        <v>15</v>
      </c>
      <c r="F358" t="s">
        <v>84</v>
      </c>
      <c r="G358" s="2">
        <v>8.0000000000000002E-3</v>
      </c>
      <c r="H358">
        <f t="shared" si="21"/>
        <v>4.2674199999999995</v>
      </c>
      <c r="I358">
        <v>41</v>
      </c>
      <c r="J358">
        <f t="shared" si="19"/>
        <v>174.96421999999998</v>
      </c>
      <c r="K358">
        <f t="shared" si="20"/>
        <v>174.96421999999998</v>
      </c>
    </row>
    <row r="359" spans="2:11" x14ac:dyDescent="0.25">
      <c r="B359" s="4">
        <v>45815</v>
      </c>
      <c r="C359" t="s">
        <v>71</v>
      </c>
      <c r="E359" t="s">
        <v>61</v>
      </c>
      <c r="F359" t="s">
        <v>84</v>
      </c>
      <c r="G359" s="2">
        <v>2.5999999999999999E-2</v>
      </c>
      <c r="H359">
        <f t="shared" si="21"/>
        <v>10.610439999999999</v>
      </c>
      <c r="I359">
        <v>41</v>
      </c>
      <c r="J359">
        <f t="shared" si="19"/>
        <v>435.02803999999998</v>
      </c>
      <c r="K359">
        <f t="shared" si="20"/>
        <v>435.02803999999998</v>
      </c>
    </row>
    <row r="360" spans="2:11" x14ac:dyDescent="0.25">
      <c r="B360" s="4">
        <v>45815</v>
      </c>
      <c r="C360" t="s">
        <v>71</v>
      </c>
      <c r="E360" t="s">
        <v>16</v>
      </c>
      <c r="F360" t="s">
        <v>84</v>
      </c>
      <c r="G360" s="2">
        <v>4.0000000000000001E-3</v>
      </c>
      <c r="H360">
        <f t="shared" si="21"/>
        <v>2.8578599999999996</v>
      </c>
      <c r="I360">
        <v>41</v>
      </c>
      <c r="J360">
        <f t="shared" si="19"/>
        <v>117.17225999999998</v>
      </c>
      <c r="K360">
        <f t="shared" si="20"/>
        <v>117.17225999999998</v>
      </c>
    </row>
    <row r="361" spans="2:11" x14ac:dyDescent="0.25">
      <c r="B361" s="4">
        <v>45815</v>
      </c>
      <c r="C361" t="s">
        <v>71</v>
      </c>
      <c r="E361" t="s">
        <v>17</v>
      </c>
      <c r="F361" t="s">
        <v>84</v>
      </c>
      <c r="G361" s="2">
        <v>0.02</v>
      </c>
      <c r="H361">
        <f t="shared" si="21"/>
        <v>8.4961000000000002</v>
      </c>
      <c r="I361">
        <v>41</v>
      </c>
      <c r="J361">
        <f t="shared" si="19"/>
        <v>348.34010000000001</v>
      </c>
      <c r="K361">
        <f t="shared" si="20"/>
        <v>348.34010000000001</v>
      </c>
    </row>
    <row r="362" spans="2:11" x14ac:dyDescent="0.25">
      <c r="B362" s="4">
        <v>45815</v>
      </c>
      <c r="C362" t="s">
        <v>71</v>
      </c>
      <c r="E362" t="s">
        <v>12</v>
      </c>
      <c r="F362" t="s">
        <v>84</v>
      </c>
      <c r="G362" s="2">
        <v>1.9E-2</v>
      </c>
      <c r="H362">
        <f t="shared" si="21"/>
        <v>8.1437100000000004</v>
      </c>
      <c r="I362">
        <v>41</v>
      </c>
      <c r="J362">
        <f t="shared" si="19"/>
        <v>333.89211</v>
      </c>
      <c r="K362">
        <f t="shared" si="20"/>
        <v>333.89211</v>
      </c>
    </row>
    <row r="363" spans="2:11" x14ac:dyDescent="0.25">
      <c r="B363" s="4">
        <v>45815</v>
      </c>
      <c r="C363" t="s">
        <v>71</v>
      </c>
      <c r="E363" t="s">
        <v>62</v>
      </c>
      <c r="F363" t="s">
        <v>84</v>
      </c>
      <c r="G363" s="2">
        <v>4.0000000000000001E-3</v>
      </c>
      <c r="H363">
        <f t="shared" si="21"/>
        <v>2.8578599999999996</v>
      </c>
      <c r="I363">
        <v>41</v>
      </c>
      <c r="J363">
        <f t="shared" si="19"/>
        <v>117.17225999999998</v>
      </c>
      <c r="K363">
        <f t="shared" si="20"/>
        <v>117.17225999999998</v>
      </c>
    </row>
    <row r="364" spans="2:11" x14ac:dyDescent="0.25">
      <c r="B364" s="4">
        <v>45815</v>
      </c>
      <c r="C364" t="s">
        <v>71</v>
      </c>
      <c r="E364" t="s">
        <v>18</v>
      </c>
      <c r="F364" t="s">
        <v>84</v>
      </c>
      <c r="G364" s="2">
        <v>0.01</v>
      </c>
      <c r="H364">
        <f t="shared" si="21"/>
        <v>4.9722</v>
      </c>
      <c r="I364">
        <v>41</v>
      </c>
      <c r="J364">
        <f t="shared" si="19"/>
        <v>203.86019999999999</v>
      </c>
      <c r="K364">
        <f t="shared" si="20"/>
        <v>203.86019999999999</v>
      </c>
    </row>
    <row r="365" spans="2:11" x14ac:dyDescent="0.25">
      <c r="B365" s="4">
        <v>45815</v>
      </c>
      <c r="C365" t="s">
        <v>71</v>
      </c>
      <c r="E365" t="s">
        <v>19</v>
      </c>
      <c r="F365" t="s">
        <v>84</v>
      </c>
      <c r="G365" s="2">
        <v>2.1999999999999999E-2</v>
      </c>
      <c r="H365">
        <f t="shared" si="21"/>
        <v>9.2008799999999997</v>
      </c>
      <c r="I365">
        <v>41</v>
      </c>
      <c r="J365">
        <f t="shared" si="19"/>
        <v>377.23608000000002</v>
      </c>
      <c r="K365">
        <f t="shared" si="20"/>
        <v>377.23608000000002</v>
      </c>
    </row>
    <row r="366" spans="2:11" x14ac:dyDescent="0.25">
      <c r="B366" s="4">
        <v>45815</v>
      </c>
      <c r="C366" t="s">
        <v>71</v>
      </c>
      <c r="E366" t="s">
        <v>20</v>
      </c>
      <c r="F366" t="s">
        <v>84</v>
      </c>
      <c r="G366" s="2">
        <v>2.4E-2</v>
      </c>
      <c r="H366">
        <f t="shared" si="21"/>
        <v>9.9056599999999992</v>
      </c>
      <c r="I366">
        <v>41</v>
      </c>
      <c r="J366">
        <f t="shared" si="19"/>
        <v>406.13205999999997</v>
      </c>
      <c r="K366">
        <f t="shared" si="20"/>
        <v>406.13205999999997</v>
      </c>
    </row>
    <row r="367" spans="2:11" x14ac:dyDescent="0.25">
      <c r="B367" s="4">
        <v>45815</v>
      </c>
      <c r="C367" t="s">
        <v>71</v>
      </c>
      <c r="E367" t="s">
        <v>63</v>
      </c>
      <c r="F367" t="s">
        <v>84</v>
      </c>
      <c r="G367" s="2">
        <v>7.0000000000000001E-3</v>
      </c>
      <c r="H367">
        <f t="shared" si="21"/>
        <v>3.9150299999999998</v>
      </c>
      <c r="I367">
        <v>41</v>
      </c>
      <c r="J367">
        <f t="shared" si="19"/>
        <v>160.51622999999998</v>
      </c>
      <c r="K367">
        <f t="shared" si="20"/>
        <v>160.51622999999998</v>
      </c>
    </row>
    <row r="368" spans="2:11" x14ac:dyDescent="0.25">
      <c r="B368" s="4">
        <v>45815</v>
      </c>
      <c r="C368" t="s">
        <v>71</v>
      </c>
      <c r="E368" t="s">
        <v>21</v>
      </c>
      <c r="F368" t="s">
        <v>84</v>
      </c>
      <c r="G368" s="2">
        <v>2.5000000000000001E-2</v>
      </c>
      <c r="H368">
        <f t="shared" si="21"/>
        <v>10.258049999999999</v>
      </c>
      <c r="I368">
        <v>41</v>
      </c>
      <c r="J368">
        <f t="shared" si="19"/>
        <v>420.58004999999997</v>
      </c>
      <c r="K368">
        <f t="shared" si="20"/>
        <v>420.58004999999997</v>
      </c>
    </row>
    <row r="369" spans="2:11" x14ac:dyDescent="0.25">
      <c r="B369" s="4">
        <v>45815</v>
      </c>
      <c r="C369" t="s">
        <v>71</v>
      </c>
      <c r="E369" t="s">
        <v>22</v>
      </c>
      <c r="F369" t="s">
        <v>84</v>
      </c>
      <c r="G369" s="2">
        <v>8.0000000000000002E-3</v>
      </c>
      <c r="H369">
        <f t="shared" si="21"/>
        <v>4.2674199999999995</v>
      </c>
      <c r="I369">
        <v>41</v>
      </c>
      <c r="J369">
        <f t="shared" si="19"/>
        <v>174.96421999999998</v>
      </c>
      <c r="K369">
        <f t="shared" si="20"/>
        <v>174.96421999999998</v>
      </c>
    </row>
    <row r="370" spans="2:11" x14ac:dyDescent="0.25">
      <c r="B370" s="4">
        <v>45815</v>
      </c>
      <c r="C370" t="s">
        <v>71</v>
      </c>
      <c r="E370" t="s">
        <v>23</v>
      </c>
      <c r="F370" t="s">
        <v>84</v>
      </c>
      <c r="G370" s="2">
        <v>3.4000000000000002E-2</v>
      </c>
      <c r="H370">
        <f t="shared" si="21"/>
        <v>13.42956</v>
      </c>
      <c r="I370">
        <v>41</v>
      </c>
      <c r="J370">
        <f t="shared" si="19"/>
        <v>550.61196000000007</v>
      </c>
      <c r="K370">
        <f t="shared" si="20"/>
        <v>550.61196000000007</v>
      </c>
    </row>
    <row r="371" spans="2:11" x14ac:dyDescent="0.25">
      <c r="B371" s="4">
        <v>45815</v>
      </c>
      <c r="C371" t="s">
        <v>71</v>
      </c>
      <c r="E371" t="s">
        <v>64</v>
      </c>
      <c r="F371" t="s">
        <v>84</v>
      </c>
      <c r="G371" s="2">
        <v>7.0000000000000001E-3</v>
      </c>
      <c r="H371">
        <f t="shared" si="21"/>
        <v>3.9150299999999998</v>
      </c>
      <c r="I371">
        <v>41</v>
      </c>
      <c r="J371">
        <f t="shared" si="19"/>
        <v>160.51622999999998</v>
      </c>
      <c r="K371">
        <f t="shared" si="20"/>
        <v>160.51622999999998</v>
      </c>
    </row>
    <row r="372" spans="2:11" x14ac:dyDescent="0.25">
      <c r="B372" s="4">
        <v>45815</v>
      </c>
      <c r="C372" t="s">
        <v>71</v>
      </c>
      <c r="E372" t="s">
        <v>24</v>
      </c>
      <c r="F372" t="s">
        <v>84</v>
      </c>
      <c r="G372" s="2">
        <v>5.0000000000000001E-3</v>
      </c>
      <c r="H372">
        <f t="shared" si="21"/>
        <v>3.2102499999999998</v>
      </c>
      <c r="I372">
        <v>41</v>
      </c>
      <c r="J372">
        <f t="shared" si="19"/>
        <v>131.62025</v>
      </c>
      <c r="K372">
        <f t="shared" si="20"/>
        <v>131.62025</v>
      </c>
    </row>
    <row r="373" spans="2:11" x14ac:dyDescent="0.25">
      <c r="B373" s="4">
        <v>45815</v>
      </c>
      <c r="C373" t="s">
        <v>71</v>
      </c>
      <c r="E373" t="s">
        <v>25</v>
      </c>
      <c r="F373" t="s">
        <v>84</v>
      </c>
      <c r="G373" s="2">
        <v>2.1000000000000001E-2</v>
      </c>
      <c r="H373">
        <f t="shared" si="21"/>
        <v>8.84849</v>
      </c>
      <c r="I373">
        <v>41</v>
      </c>
      <c r="J373">
        <f t="shared" si="19"/>
        <v>362.78809000000001</v>
      </c>
      <c r="K373">
        <f t="shared" si="20"/>
        <v>362.78809000000001</v>
      </c>
    </row>
    <row r="374" spans="2:11" x14ac:dyDescent="0.25">
      <c r="B374" s="4">
        <v>45815</v>
      </c>
      <c r="C374" t="s">
        <v>71</v>
      </c>
      <c r="E374" t="s">
        <v>26</v>
      </c>
      <c r="F374" t="s">
        <v>84</v>
      </c>
      <c r="G374" s="2">
        <v>6.0000000000000001E-3</v>
      </c>
      <c r="H374">
        <f t="shared" si="21"/>
        <v>3.56264</v>
      </c>
      <c r="I374">
        <v>41</v>
      </c>
      <c r="J374">
        <f t="shared" si="19"/>
        <v>146.06824</v>
      </c>
      <c r="K374">
        <f t="shared" si="20"/>
        <v>146.06824</v>
      </c>
    </row>
    <row r="375" spans="2:11" x14ac:dyDescent="0.25">
      <c r="B375" s="4">
        <v>45815</v>
      </c>
      <c r="C375" t="s">
        <v>71</v>
      </c>
      <c r="E375" t="s">
        <v>65</v>
      </c>
      <c r="F375" t="s">
        <v>84</v>
      </c>
      <c r="G375" s="2">
        <v>2.3E-2</v>
      </c>
      <c r="H375">
        <f t="shared" si="21"/>
        <v>9.5532699999999995</v>
      </c>
      <c r="I375">
        <v>41</v>
      </c>
      <c r="J375">
        <f t="shared" si="19"/>
        <v>391.68406999999996</v>
      </c>
      <c r="K375">
        <f t="shared" si="20"/>
        <v>391.68406999999996</v>
      </c>
    </row>
    <row r="376" spans="2:11" x14ac:dyDescent="0.25">
      <c r="B376" s="4">
        <v>45815</v>
      </c>
      <c r="C376" t="s">
        <v>71</v>
      </c>
      <c r="E376" t="s">
        <v>27</v>
      </c>
      <c r="F376" t="s">
        <v>84</v>
      </c>
      <c r="G376" s="2">
        <v>0.02</v>
      </c>
      <c r="H376">
        <f t="shared" si="21"/>
        <v>8.4961000000000002</v>
      </c>
      <c r="I376">
        <v>41</v>
      </c>
      <c r="J376">
        <f t="shared" si="19"/>
        <v>348.34010000000001</v>
      </c>
      <c r="K376">
        <f t="shared" si="20"/>
        <v>348.34010000000001</v>
      </c>
    </row>
    <row r="377" spans="2:11" x14ac:dyDescent="0.25">
      <c r="B377" s="4">
        <v>45815</v>
      </c>
      <c r="C377" t="s">
        <v>71</v>
      </c>
      <c r="E377" t="s">
        <v>28</v>
      </c>
      <c r="F377" t="s">
        <v>84</v>
      </c>
      <c r="G377" s="2">
        <v>6.0000000000000001E-3</v>
      </c>
      <c r="H377">
        <f t="shared" si="21"/>
        <v>3.56264</v>
      </c>
      <c r="I377">
        <v>41</v>
      </c>
      <c r="J377">
        <f t="shared" si="19"/>
        <v>146.06824</v>
      </c>
      <c r="K377">
        <f t="shared" si="20"/>
        <v>146.06824</v>
      </c>
    </row>
    <row r="378" spans="2:11" x14ac:dyDescent="0.25">
      <c r="B378" s="4">
        <v>45815</v>
      </c>
      <c r="C378" t="s">
        <v>71</v>
      </c>
      <c r="E378" t="s">
        <v>29</v>
      </c>
      <c r="F378" t="s">
        <v>84</v>
      </c>
      <c r="G378" s="2">
        <v>2.5000000000000001E-2</v>
      </c>
      <c r="H378">
        <f t="shared" si="21"/>
        <v>10.258049999999999</v>
      </c>
      <c r="I378">
        <v>41</v>
      </c>
      <c r="J378">
        <f t="shared" si="19"/>
        <v>420.58004999999997</v>
      </c>
      <c r="K378">
        <f t="shared" si="20"/>
        <v>420.58004999999997</v>
      </c>
    </row>
    <row r="379" spans="2:11" x14ac:dyDescent="0.25">
      <c r="B379" s="4">
        <v>45815</v>
      </c>
      <c r="C379" t="s">
        <v>71</v>
      </c>
      <c r="E379" t="s">
        <v>66</v>
      </c>
      <c r="F379" t="s">
        <v>84</v>
      </c>
      <c r="G379" s="2">
        <v>0.03</v>
      </c>
      <c r="H379">
        <f t="shared" si="21"/>
        <v>12.02</v>
      </c>
      <c r="I379">
        <v>41</v>
      </c>
      <c r="J379">
        <f t="shared" si="19"/>
        <v>492.82</v>
      </c>
      <c r="K379">
        <f t="shared" si="20"/>
        <v>492.82</v>
      </c>
    </row>
    <row r="380" spans="2:11" x14ac:dyDescent="0.25">
      <c r="B380" s="4">
        <v>45815</v>
      </c>
      <c r="C380" t="s">
        <v>71</v>
      </c>
      <c r="D380" t="s">
        <v>67</v>
      </c>
      <c r="E380">
        <v>1</v>
      </c>
      <c r="F380" t="s">
        <v>84</v>
      </c>
      <c r="G380" s="2">
        <v>5.0999999999999997E-2</v>
      </c>
      <c r="H380">
        <f t="shared" si="21"/>
        <v>19.420189999999998</v>
      </c>
      <c r="I380">
        <v>1</v>
      </c>
      <c r="J380">
        <f t="shared" si="19"/>
        <v>19.420189999999998</v>
      </c>
      <c r="K380">
        <f t="shared" si="20"/>
        <v>19.420189999999998</v>
      </c>
    </row>
    <row r="381" spans="2:11" x14ac:dyDescent="0.25">
      <c r="B381" s="4">
        <v>45815</v>
      </c>
      <c r="C381" t="s">
        <v>71</v>
      </c>
      <c r="D381" t="s">
        <v>67</v>
      </c>
      <c r="E381">
        <v>2</v>
      </c>
      <c r="F381" t="s">
        <v>84</v>
      </c>
      <c r="G381" s="2">
        <v>5.3999999999999999E-2</v>
      </c>
      <c r="H381">
        <f t="shared" si="21"/>
        <v>20.477359999999997</v>
      </c>
      <c r="I381">
        <v>1</v>
      </c>
      <c r="J381">
        <f t="shared" si="19"/>
        <v>20.477359999999997</v>
      </c>
      <c r="K381">
        <f t="shared" si="20"/>
        <v>20.477359999999997</v>
      </c>
    </row>
    <row r="382" spans="2:11" x14ac:dyDescent="0.25">
      <c r="B382" s="4">
        <v>45815</v>
      </c>
      <c r="C382" t="s">
        <v>71</v>
      </c>
      <c r="D382" t="s">
        <v>67</v>
      </c>
      <c r="E382">
        <v>3</v>
      </c>
      <c r="F382" t="s">
        <v>84</v>
      </c>
      <c r="G382" s="2">
        <v>2.9000000000000001E-2</v>
      </c>
      <c r="H382">
        <f t="shared" si="21"/>
        <v>11.66761</v>
      </c>
      <c r="I382">
        <v>1</v>
      </c>
      <c r="J382">
        <f t="shared" si="19"/>
        <v>11.66761</v>
      </c>
      <c r="K382">
        <f t="shared" si="20"/>
        <v>11.66761</v>
      </c>
    </row>
    <row r="383" spans="2:11" x14ac:dyDescent="0.25">
      <c r="B383" s="4">
        <v>45815</v>
      </c>
      <c r="C383" t="s">
        <v>72</v>
      </c>
      <c r="E383" t="s">
        <v>13</v>
      </c>
      <c r="F383" t="s">
        <v>84</v>
      </c>
      <c r="G383" s="2">
        <v>3.2000000000000001E-2</v>
      </c>
      <c r="H383">
        <f t="shared" si="21"/>
        <v>12.724779999999999</v>
      </c>
      <c r="I383">
        <v>41</v>
      </c>
      <c r="J383">
        <f t="shared" si="19"/>
        <v>521.71597999999994</v>
      </c>
      <c r="K383">
        <f t="shared" si="20"/>
        <v>521.71597999999994</v>
      </c>
    </row>
    <row r="384" spans="2:11" x14ac:dyDescent="0.25">
      <c r="B384" s="4">
        <v>45815</v>
      </c>
      <c r="C384" t="s">
        <v>72</v>
      </c>
      <c r="E384" t="s">
        <v>14</v>
      </c>
      <c r="F384" t="s">
        <v>84</v>
      </c>
      <c r="G384" s="2">
        <v>0.02</v>
      </c>
      <c r="H384">
        <f t="shared" si="21"/>
        <v>8.4961000000000002</v>
      </c>
      <c r="I384">
        <v>41</v>
      </c>
      <c r="J384">
        <f t="shared" si="19"/>
        <v>348.34010000000001</v>
      </c>
      <c r="K384">
        <f t="shared" si="20"/>
        <v>348.34010000000001</v>
      </c>
    </row>
    <row r="385" spans="2:11" x14ac:dyDescent="0.25">
      <c r="B385" s="4">
        <v>45815</v>
      </c>
      <c r="C385" t="s">
        <v>72</v>
      </c>
      <c r="E385" t="s">
        <v>15</v>
      </c>
      <c r="F385" t="s">
        <v>84</v>
      </c>
      <c r="G385" s="2">
        <v>1.0999999999999999E-2</v>
      </c>
      <c r="H385">
        <f t="shared" si="21"/>
        <v>5.3245899999999997</v>
      </c>
      <c r="I385">
        <v>41</v>
      </c>
      <c r="J385">
        <f t="shared" si="19"/>
        <v>218.30819</v>
      </c>
      <c r="K385">
        <f t="shared" si="20"/>
        <v>218.30819</v>
      </c>
    </row>
    <row r="386" spans="2:11" x14ac:dyDescent="0.25">
      <c r="B386" s="4">
        <v>45815</v>
      </c>
      <c r="C386" t="s">
        <v>72</v>
      </c>
      <c r="E386" t="s">
        <v>61</v>
      </c>
      <c r="F386" t="s">
        <v>84</v>
      </c>
      <c r="G386" s="2">
        <v>2.1999999999999999E-2</v>
      </c>
      <c r="H386">
        <f t="shared" si="21"/>
        <v>9.2008799999999997</v>
      </c>
      <c r="I386">
        <v>41</v>
      </c>
      <c r="J386">
        <f t="shared" ref="J386:J411" si="22">H386*I386</f>
        <v>377.23608000000002</v>
      </c>
      <c r="K386">
        <f t="shared" si="20"/>
        <v>377.23608000000002</v>
      </c>
    </row>
    <row r="387" spans="2:11" x14ac:dyDescent="0.25">
      <c r="B387" s="4">
        <v>45815</v>
      </c>
      <c r="C387" t="s">
        <v>72</v>
      </c>
      <c r="E387" t="s">
        <v>16</v>
      </c>
      <c r="F387" t="s">
        <v>84</v>
      </c>
      <c r="G387" s="2">
        <v>6.0000000000000001E-3</v>
      </c>
      <c r="H387">
        <f t="shared" si="21"/>
        <v>3.56264</v>
      </c>
      <c r="I387">
        <v>41</v>
      </c>
      <c r="J387">
        <f t="shared" si="22"/>
        <v>146.06824</v>
      </c>
      <c r="K387">
        <f t="shared" ref="K387:K410" si="23">MAX(J387,0)</f>
        <v>146.06824</v>
      </c>
    </row>
    <row r="388" spans="2:11" x14ac:dyDescent="0.25">
      <c r="B388" s="4">
        <v>45815</v>
      </c>
      <c r="C388" t="s">
        <v>72</v>
      </c>
      <c r="E388" t="s">
        <v>17</v>
      </c>
      <c r="F388" t="s">
        <v>84</v>
      </c>
      <c r="G388" s="2">
        <v>3.3000000000000002E-2</v>
      </c>
      <c r="H388">
        <f t="shared" si="21"/>
        <v>13.077170000000001</v>
      </c>
      <c r="I388">
        <v>41</v>
      </c>
      <c r="J388">
        <f t="shared" si="22"/>
        <v>536.16397000000006</v>
      </c>
      <c r="K388">
        <f t="shared" si="23"/>
        <v>536.16397000000006</v>
      </c>
    </row>
    <row r="389" spans="2:11" x14ac:dyDescent="0.25">
      <c r="B389" s="4">
        <v>45815</v>
      </c>
      <c r="C389" t="s">
        <v>72</v>
      </c>
      <c r="E389" t="s">
        <v>12</v>
      </c>
      <c r="F389" t="s">
        <v>84</v>
      </c>
      <c r="G389" s="2">
        <v>2.9000000000000001E-2</v>
      </c>
      <c r="H389">
        <f t="shared" si="21"/>
        <v>11.66761</v>
      </c>
      <c r="I389">
        <v>41</v>
      </c>
      <c r="J389">
        <f t="shared" si="22"/>
        <v>478.37200999999999</v>
      </c>
      <c r="K389">
        <f t="shared" si="23"/>
        <v>478.37200999999999</v>
      </c>
    </row>
    <row r="390" spans="2:11" x14ac:dyDescent="0.25">
      <c r="B390" s="4">
        <v>45815</v>
      </c>
      <c r="C390" t="s">
        <v>72</v>
      </c>
      <c r="E390" t="s">
        <v>62</v>
      </c>
      <c r="F390" t="s">
        <v>84</v>
      </c>
      <c r="G390" s="2">
        <v>2.3E-2</v>
      </c>
      <c r="H390">
        <f t="shared" si="21"/>
        <v>9.5532699999999995</v>
      </c>
      <c r="I390">
        <v>41</v>
      </c>
      <c r="J390">
        <f t="shared" si="22"/>
        <v>391.68406999999996</v>
      </c>
      <c r="K390">
        <f t="shared" si="23"/>
        <v>391.68406999999996</v>
      </c>
    </row>
    <row r="391" spans="2:11" x14ac:dyDescent="0.25">
      <c r="B391" s="4">
        <v>45815</v>
      </c>
      <c r="C391" t="s">
        <v>72</v>
      </c>
      <c r="E391" t="s">
        <v>18</v>
      </c>
      <c r="F391" t="s">
        <v>84</v>
      </c>
      <c r="G391" s="2">
        <v>0.03</v>
      </c>
      <c r="H391">
        <f t="shared" si="21"/>
        <v>12.02</v>
      </c>
      <c r="I391">
        <v>41</v>
      </c>
      <c r="J391">
        <f t="shared" si="22"/>
        <v>492.82</v>
      </c>
      <c r="K391">
        <f t="shared" si="23"/>
        <v>492.82</v>
      </c>
    </row>
    <row r="392" spans="2:11" x14ac:dyDescent="0.25">
      <c r="B392" s="4">
        <v>45815</v>
      </c>
      <c r="C392" t="s">
        <v>72</v>
      </c>
      <c r="E392" t="s">
        <v>19</v>
      </c>
      <c r="F392" t="s">
        <v>84</v>
      </c>
      <c r="G392" s="2">
        <v>2.5000000000000001E-2</v>
      </c>
      <c r="H392">
        <f t="shared" si="21"/>
        <v>10.258049999999999</v>
      </c>
      <c r="I392">
        <v>41</v>
      </c>
      <c r="J392">
        <f t="shared" si="22"/>
        <v>420.58004999999997</v>
      </c>
      <c r="K392">
        <f t="shared" si="23"/>
        <v>420.58004999999997</v>
      </c>
    </row>
    <row r="393" spans="2:11" x14ac:dyDescent="0.25">
      <c r="B393" s="4">
        <v>45815</v>
      </c>
      <c r="C393" t="s">
        <v>72</v>
      </c>
      <c r="E393" t="s">
        <v>20</v>
      </c>
      <c r="F393" t="s">
        <v>84</v>
      </c>
      <c r="G393" s="2">
        <v>0.02</v>
      </c>
      <c r="H393">
        <f t="shared" si="21"/>
        <v>8.4961000000000002</v>
      </c>
      <c r="I393">
        <v>41</v>
      </c>
      <c r="J393">
        <f t="shared" si="22"/>
        <v>348.34010000000001</v>
      </c>
      <c r="K393">
        <f t="shared" si="23"/>
        <v>348.34010000000001</v>
      </c>
    </row>
    <row r="394" spans="2:11" x14ac:dyDescent="0.25">
      <c r="B394" s="4">
        <v>45815</v>
      </c>
      <c r="C394" t="s">
        <v>72</v>
      </c>
      <c r="E394" t="s">
        <v>63</v>
      </c>
      <c r="F394" t="s">
        <v>84</v>
      </c>
      <c r="G394" s="2">
        <v>1.2E-2</v>
      </c>
      <c r="H394">
        <f t="shared" si="21"/>
        <v>5.6769799999999995</v>
      </c>
      <c r="I394">
        <v>41</v>
      </c>
      <c r="J394">
        <f t="shared" si="22"/>
        <v>232.75617999999997</v>
      </c>
      <c r="K394">
        <f t="shared" si="23"/>
        <v>232.75617999999997</v>
      </c>
    </row>
    <row r="395" spans="2:11" x14ac:dyDescent="0.25">
      <c r="B395" s="4">
        <v>45815</v>
      </c>
      <c r="C395" t="s">
        <v>72</v>
      </c>
      <c r="E395" t="s">
        <v>21</v>
      </c>
      <c r="F395" t="s">
        <v>84</v>
      </c>
      <c r="G395" s="2">
        <v>0.01</v>
      </c>
      <c r="H395">
        <f t="shared" si="21"/>
        <v>4.9722</v>
      </c>
      <c r="I395">
        <v>41</v>
      </c>
      <c r="J395">
        <f t="shared" si="22"/>
        <v>203.86019999999999</v>
      </c>
      <c r="K395">
        <f t="shared" si="23"/>
        <v>203.86019999999999</v>
      </c>
    </row>
    <row r="396" spans="2:11" x14ac:dyDescent="0.25">
      <c r="B396" s="4">
        <v>45815</v>
      </c>
      <c r="C396" t="s">
        <v>72</v>
      </c>
      <c r="E396" t="s">
        <v>22</v>
      </c>
      <c r="F396" t="s">
        <v>84</v>
      </c>
      <c r="G396" s="2">
        <v>2.7E-2</v>
      </c>
      <c r="H396">
        <f t="shared" si="21"/>
        <v>10.962829999999999</v>
      </c>
      <c r="I396">
        <v>41</v>
      </c>
      <c r="J396">
        <f t="shared" si="22"/>
        <v>449.47602999999992</v>
      </c>
      <c r="K396">
        <f t="shared" si="23"/>
        <v>449.47602999999992</v>
      </c>
    </row>
    <row r="397" spans="2:11" x14ac:dyDescent="0.25">
      <c r="B397" s="4">
        <v>45815</v>
      </c>
      <c r="C397" t="s">
        <v>72</v>
      </c>
      <c r="E397" t="s">
        <v>23</v>
      </c>
      <c r="F397" t="s">
        <v>84</v>
      </c>
      <c r="G397" s="2">
        <v>5.1999999999999998E-2</v>
      </c>
      <c r="H397">
        <f t="shared" ref="H397:H409" si="24">(352.39*G397)+1.4483</f>
        <v>19.772579999999998</v>
      </c>
      <c r="I397">
        <v>41</v>
      </c>
      <c r="J397">
        <f t="shared" si="22"/>
        <v>810.67577999999992</v>
      </c>
      <c r="K397">
        <f t="shared" si="23"/>
        <v>810.67577999999992</v>
      </c>
    </row>
    <row r="398" spans="2:11" x14ac:dyDescent="0.25">
      <c r="B398" s="4">
        <v>45815</v>
      </c>
      <c r="C398" t="s">
        <v>72</v>
      </c>
      <c r="E398" t="s">
        <v>64</v>
      </c>
      <c r="F398" t="s">
        <v>84</v>
      </c>
      <c r="G398" s="2">
        <v>0.03</v>
      </c>
      <c r="H398">
        <f t="shared" si="24"/>
        <v>12.02</v>
      </c>
      <c r="I398">
        <v>41</v>
      </c>
      <c r="J398">
        <f t="shared" si="22"/>
        <v>492.82</v>
      </c>
      <c r="K398">
        <f t="shared" si="23"/>
        <v>492.82</v>
      </c>
    </row>
    <row r="399" spans="2:11" x14ac:dyDescent="0.25">
      <c r="B399" s="4">
        <v>45815</v>
      </c>
      <c r="C399" t="s">
        <v>72</v>
      </c>
      <c r="E399" t="s">
        <v>24</v>
      </c>
      <c r="F399" t="s">
        <v>84</v>
      </c>
      <c r="G399" s="2">
        <v>4.7E-2</v>
      </c>
      <c r="H399">
        <f t="shared" si="24"/>
        <v>18.010629999999999</v>
      </c>
      <c r="I399">
        <v>41</v>
      </c>
      <c r="J399">
        <f t="shared" si="22"/>
        <v>738.43583000000001</v>
      </c>
      <c r="K399">
        <f t="shared" si="23"/>
        <v>738.43583000000001</v>
      </c>
    </row>
    <row r="400" spans="2:11" x14ac:dyDescent="0.25">
      <c r="B400" s="4">
        <v>45815</v>
      </c>
      <c r="C400" t="s">
        <v>72</v>
      </c>
      <c r="E400" t="s">
        <v>25</v>
      </c>
      <c r="F400" t="s">
        <v>84</v>
      </c>
      <c r="G400" s="2">
        <v>5.5E-2</v>
      </c>
      <c r="H400">
        <f t="shared" si="24"/>
        <v>20.829750000000001</v>
      </c>
      <c r="I400">
        <v>41</v>
      </c>
      <c r="J400">
        <f t="shared" si="22"/>
        <v>854.01975000000004</v>
      </c>
      <c r="K400">
        <f t="shared" si="23"/>
        <v>854.01975000000004</v>
      </c>
    </row>
    <row r="401" spans="2:11" x14ac:dyDescent="0.25">
      <c r="B401" s="4">
        <v>45815</v>
      </c>
      <c r="C401" t="s">
        <v>72</v>
      </c>
      <c r="E401" t="s">
        <v>26</v>
      </c>
      <c r="F401" t="s">
        <v>84</v>
      </c>
      <c r="G401" s="2">
        <v>5.1999999999999998E-2</v>
      </c>
      <c r="H401">
        <f t="shared" si="24"/>
        <v>19.772579999999998</v>
      </c>
      <c r="I401">
        <v>41</v>
      </c>
      <c r="J401">
        <f t="shared" si="22"/>
        <v>810.67577999999992</v>
      </c>
      <c r="K401">
        <f t="shared" si="23"/>
        <v>810.67577999999992</v>
      </c>
    </row>
    <row r="402" spans="2:11" x14ac:dyDescent="0.25">
      <c r="B402" s="4">
        <v>45815</v>
      </c>
      <c r="C402" t="s">
        <v>72</v>
      </c>
      <c r="E402" t="s">
        <v>65</v>
      </c>
      <c r="F402" t="s">
        <v>84</v>
      </c>
      <c r="G402" s="2">
        <v>4.9000000000000002E-2</v>
      </c>
      <c r="H402">
        <f t="shared" si="24"/>
        <v>18.715409999999999</v>
      </c>
      <c r="I402">
        <v>41</v>
      </c>
      <c r="J402">
        <f t="shared" si="22"/>
        <v>767.3318099999999</v>
      </c>
      <c r="K402">
        <f t="shared" si="23"/>
        <v>767.3318099999999</v>
      </c>
    </row>
    <row r="403" spans="2:11" x14ac:dyDescent="0.25">
      <c r="B403" s="4">
        <v>45815</v>
      </c>
      <c r="C403" t="s">
        <v>72</v>
      </c>
      <c r="E403" t="s">
        <v>27</v>
      </c>
      <c r="F403" t="s">
        <v>84</v>
      </c>
      <c r="G403" s="2">
        <v>4.0000000000000001E-3</v>
      </c>
      <c r="H403">
        <f t="shared" si="24"/>
        <v>2.8578599999999996</v>
      </c>
      <c r="I403">
        <v>41</v>
      </c>
      <c r="J403">
        <f t="shared" si="22"/>
        <v>117.17225999999998</v>
      </c>
      <c r="K403">
        <f t="shared" si="23"/>
        <v>117.17225999999998</v>
      </c>
    </row>
    <row r="404" spans="2:11" x14ac:dyDescent="0.25">
      <c r="B404" s="4">
        <v>45815</v>
      </c>
      <c r="C404" t="s">
        <v>72</v>
      </c>
      <c r="E404" t="s">
        <v>28</v>
      </c>
      <c r="F404" t="s">
        <v>84</v>
      </c>
      <c r="G404" s="2">
        <v>3.4000000000000002E-2</v>
      </c>
      <c r="H404">
        <f t="shared" si="24"/>
        <v>13.42956</v>
      </c>
      <c r="I404">
        <v>41</v>
      </c>
      <c r="J404">
        <f t="shared" si="22"/>
        <v>550.61196000000007</v>
      </c>
      <c r="K404">
        <f t="shared" si="23"/>
        <v>550.61196000000007</v>
      </c>
    </row>
    <row r="405" spans="2:11" x14ac:dyDescent="0.25">
      <c r="B405" s="4">
        <v>45815</v>
      </c>
      <c r="C405" t="s">
        <v>72</v>
      </c>
      <c r="E405" t="s">
        <v>29</v>
      </c>
      <c r="F405" t="s">
        <v>84</v>
      </c>
      <c r="G405" s="2">
        <v>5.8000000000000003E-2</v>
      </c>
      <c r="H405">
        <f t="shared" si="24"/>
        <v>21.88692</v>
      </c>
      <c r="I405">
        <v>41</v>
      </c>
      <c r="J405">
        <f t="shared" si="22"/>
        <v>897.36371999999994</v>
      </c>
      <c r="K405">
        <f t="shared" si="23"/>
        <v>897.36371999999994</v>
      </c>
    </row>
    <row r="406" spans="2:11" x14ac:dyDescent="0.25">
      <c r="B406" s="4">
        <v>45815</v>
      </c>
      <c r="C406" t="s">
        <v>72</v>
      </c>
      <c r="E406" t="s">
        <v>66</v>
      </c>
      <c r="F406" t="s">
        <v>84</v>
      </c>
      <c r="G406" s="2">
        <v>4.9000000000000002E-2</v>
      </c>
      <c r="H406">
        <f t="shared" si="24"/>
        <v>18.715409999999999</v>
      </c>
      <c r="I406">
        <v>41</v>
      </c>
      <c r="J406">
        <f t="shared" si="22"/>
        <v>767.3318099999999</v>
      </c>
      <c r="K406">
        <f t="shared" si="23"/>
        <v>767.3318099999999</v>
      </c>
    </row>
    <row r="407" spans="2:11" x14ac:dyDescent="0.25">
      <c r="B407" s="4">
        <v>45815</v>
      </c>
      <c r="C407" t="s">
        <v>72</v>
      </c>
      <c r="D407" t="s">
        <v>67</v>
      </c>
      <c r="E407">
        <v>1</v>
      </c>
      <c r="F407" t="s">
        <v>84</v>
      </c>
      <c r="G407" s="2">
        <v>5.7000000000000002E-2</v>
      </c>
      <c r="H407">
        <f t="shared" si="24"/>
        <v>21.53453</v>
      </c>
      <c r="I407">
        <v>1</v>
      </c>
      <c r="J407">
        <f t="shared" si="22"/>
        <v>21.53453</v>
      </c>
      <c r="K407">
        <f t="shared" si="23"/>
        <v>21.53453</v>
      </c>
    </row>
    <row r="408" spans="2:11" x14ac:dyDescent="0.25">
      <c r="B408" s="4">
        <v>45815</v>
      </c>
      <c r="C408" t="s">
        <v>72</v>
      </c>
      <c r="D408" t="s">
        <v>67</v>
      </c>
      <c r="E408">
        <v>2</v>
      </c>
      <c r="F408" t="s">
        <v>84</v>
      </c>
      <c r="G408" s="2">
        <v>0.04</v>
      </c>
      <c r="H408">
        <f t="shared" si="24"/>
        <v>15.543899999999999</v>
      </c>
      <c r="I408">
        <v>1</v>
      </c>
      <c r="J408">
        <f t="shared" si="22"/>
        <v>15.543899999999999</v>
      </c>
      <c r="K408">
        <f t="shared" si="23"/>
        <v>15.543899999999999</v>
      </c>
    </row>
    <row r="409" spans="2:11" x14ac:dyDescent="0.25">
      <c r="B409" s="4">
        <v>45815</v>
      </c>
      <c r="C409" t="s">
        <v>72</v>
      </c>
      <c r="D409" t="s">
        <v>67</v>
      </c>
      <c r="E409">
        <v>3</v>
      </c>
      <c r="F409" t="s">
        <v>84</v>
      </c>
      <c r="G409" s="2">
        <v>4.1000000000000002E-2</v>
      </c>
      <c r="H409">
        <f t="shared" si="24"/>
        <v>15.89629</v>
      </c>
      <c r="I409">
        <v>1</v>
      </c>
      <c r="J409">
        <f t="shared" si="22"/>
        <v>15.89629</v>
      </c>
      <c r="K409">
        <f t="shared" si="23"/>
        <v>15.89629</v>
      </c>
    </row>
    <row r="410" spans="2:11" x14ac:dyDescent="0.25">
      <c r="B410" s="4">
        <v>45861</v>
      </c>
      <c r="C410" t="s">
        <v>68</v>
      </c>
      <c r="E410" t="s">
        <v>13</v>
      </c>
      <c r="F410" t="s">
        <v>88</v>
      </c>
      <c r="G410" s="2">
        <v>1E-3</v>
      </c>
      <c r="H410">
        <f>(385.17*G410)+0.1733</f>
        <v>0.55847000000000002</v>
      </c>
      <c r="I410">
        <v>41</v>
      </c>
      <c r="J410">
        <f t="shared" si="22"/>
        <v>22.897270000000002</v>
      </c>
      <c r="K410">
        <f t="shared" si="23"/>
        <v>22.897270000000002</v>
      </c>
    </row>
    <row r="411" spans="2:11" x14ac:dyDescent="0.25">
      <c r="B411" s="4">
        <v>45861</v>
      </c>
      <c r="C411" t="s">
        <v>68</v>
      </c>
      <c r="E411" t="s">
        <v>14</v>
      </c>
      <c r="F411" t="s">
        <v>88</v>
      </c>
      <c r="G411" s="2">
        <v>2.9000000000000001E-2</v>
      </c>
      <c r="H411">
        <f>(385.17*G411)+0.1733</f>
        <v>11.34323</v>
      </c>
      <c r="I411">
        <v>41</v>
      </c>
      <c r="J411">
        <f t="shared" si="22"/>
        <v>465.07243</v>
      </c>
      <c r="K411">
        <f>MAX(J411,0)</f>
        <v>465.07243</v>
      </c>
    </row>
    <row r="412" spans="2:11" x14ac:dyDescent="0.25">
      <c r="B412" s="4">
        <v>45861</v>
      </c>
      <c r="C412" t="s">
        <v>68</v>
      </c>
      <c r="E412" t="s">
        <v>15</v>
      </c>
      <c r="F412" t="s">
        <v>88</v>
      </c>
      <c r="G412" s="2">
        <v>0.1</v>
      </c>
      <c r="H412">
        <f t="shared" ref="H412:H475" si="25">(385.17*G412)+0.1733</f>
        <v>38.690300000000001</v>
      </c>
      <c r="I412">
        <v>41</v>
      </c>
      <c r="J412">
        <f t="shared" ref="J412:J475" si="26">H412*I412</f>
        <v>1586.3023000000001</v>
      </c>
      <c r="K412">
        <f t="shared" ref="K412:K475" si="27">MAX(J412,0)</f>
        <v>1586.3023000000001</v>
      </c>
    </row>
    <row r="413" spans="2:11" x14ac:dyDescent="0.25">
      <c r="B413" s="4">
        <v>45861</v>
      </c>
      <c r="C413" t="s">
        <v>68</v>
      </c>
      <c r="E413" t="s">
        <v>61</v>
      </c>
      <c r="F413" t="s">
        <v>88</v>
      </c>
      <c r="G413" s="2">
        <v>1E-3</v>
      </c>
      <c r="H413">
        <f t="shared" si="25"/>
        <v>0.55847000000000002</v>
      </c>
      <c r="I413">
        <v>41</v>
      </c>
      <c r="J413">
        <f t="shared" si="26"/>
        <v>22.897270000000002</v>
      </c>
      <c r="K413">
        <f t="shared" si="27"/>
        <v>22.897270000000002</v>
      </c>
    </row>
    <row r="414" spans="2:11" x14ac:dyDescent="0.25">
      <c r="B414" s="4">
        <v>45861</v>
      </c>
      <c r="C414" t="s">
        <v>68</v>
      </c>
      <c r="E414" t="s">
        <v>16</v>
      </c>
      <c r="F414" t="s">
        <v>88</v>
      </c>
      <c r="G414" s="2">
        <v>0</v>
      </c>
      <c r="H414">
        <f t="shared" si="25"/>
        <v>0.17330000000000001</v>
      </c>
      <c r="I414">
        <v>41</v>
      </c>
      <c r="J414">
        <f t="shared" si="26"/>
        <v>7.1053000000000006</v>
      </c>
      <c r="K414">
        <f t="shared" si="27"/>
        <v>7.1053000000000006</v>
      </c>
    </row>
    <row r="415" spans="2:11" x14ac:dyDescent="0.25">
      <c r="B415" s="4">
        <v>45861</v>
      </c>
      <c r="C415" t="s">
        <v>68</v>
      </c>
      <c r="E415" t="s">
        <v>17</v>
      </c>
      <c r="F415" t="s">
        <v>88</v>
      </c>
      <c r="G415" s="2">
        <v>0</v>
      </c>
      <c r="H415">
        <f t="shared" si="25"/>
        <v>0.17330000000000001</v>
      </c>
      <c r="I415">
        <v>41</v>
      </c>
      <c r="J415">
        <f t="shared" si="26"/>
        <v>7.1053000000000006</v>
      </c>
      <c r="K415">
        <f t="shared" si="27"/>
        <v>7.1053000000000006</v>
      </c>
    </row>
    <row r="416" spans="2:11" x14ac:dyDescent="0.25">
      <c r="B416" s="4">
        <v>45861</v>
      </c>
      <c r="C416" t="s">
        <v>68</v>
      </c>
      <c r="E416" t="s">
        <v>12</v>
      </c>
      <c r="F416" t="s">
        <v>88</v>
      </c>
      <c r="G416" s="2">
        <v>0</v>
      </c>
      <c r="H416">
        <f t="shared" si="25"/>
        <v>0.17330000000000001</v>
      </c>
      <c r="I416">
        <v>41</v>
      </c>
      <c r="J416">
        <f t="shared" si="26"/>
        <v>7.1053000000000006</v>
      </c>
      <c r="K416">
        <f t="shared" si="27"/>
        <v>7.1053000000000006</v>
      </c>
    </row>
    <row r="417" spans="2:11" x14ac:dyDescent="0.25">
      <c r="B417" s="4">
        <v>45861</v>
      </c>
      <c r="C417" t="s">
        <v>68</v>
      </c>
      <c r="E417" t="s">
        <v>62</v>
      </c>
      <c r="F417" t="s">
        <v>88</v>
      </c>
      <c r="G417" s="2">
        <v>0</v>
      </c>
      <c r="H417">
        <f t="shared" si="25"/>
        <v>0.17330000000000001</v>
      </c>
      <c r="I417">
        <v>41</v>
      </c>
      <c r="J417">
        <f t="shared" si="26"/>
        <v>7.1053000000000006</v>
      </c>
      <c r="K417">
        <f t="shared" si="27"/>
        <v>7.1053000000000006</v>
      </c>
    </row>
    <row r="418" spans="2:11" x14ac:dyDescent="0.25">
      <c r="B418" s="4">
        <v>45861</v>
      </c>
      <c r="C418" t="s">
        <v>68</v>
      </c>
      <c r="E418" t="s">
        <v>18</v>
      </c>
      <c r="F418" t="s">
        <v>88</v>
      </c>
      <c r="G418" s="2">
        <v>8.9999999999999993E-3</v>
      </c>
      <c r="H418">
        <f t="shared" si="25"/>
        <v>3.6398299999999999</v>
      </c>
      <c r="I418">
        <v>41</v>
      </c>
      <c r="J418">
        <f t="shared" si="26"/>
        <v>149.23302999999999</v>
      </c>
      <c r="K418">
        <f t="shared" si="27"/>
        <v>149.23302999999999</v>
      </c>
    </row>
    <row r="419" spans="2:11" x14ac:dyDescent="0.25">
      <c r="B419" s="4">
        <v>45861</v>
      </c>
      <c r="C419" t="s">
        <v>68</v>
      </c>
      <c r="E419" t="s">
        <v>19</v>
      </c>
      <c r="F419" t="s">
        <v>88</v>
      </c>
      <c r="G419" s="2">
        <v>2.8000000000000001E-2</v>
      </c>
      <c r="H419">
        <f t="shared" si="25"/>
        <v>10.95806</v>
      </c>
      <c r="I419">
        <v>41</v>
      </c>
      <c r="J419">
        <f t="shared" si="26"/>
        <v>449.28046000000001</v>
      </c>
      <c r="K419">
        <f t="shared" si="27"/>
        <v>449.28046000000001</v>
      </c>
    </row>
    <row r="420" spans="2:11" x14ac:dyDescent="0.25">
      <c r="B420" s="4">
        <v>45861</v>
      </c>
      <c r="C420" t="s">
        <v>68</v>
      </c>
      <c r="E420" t="s">
        <v>20</v>
      </c>
      <c r="F420" t="s">
        <v>88</v>
      </c>
      <c r="G420" s="2">
        <v>1.9E-2</v>
      </c>
      <c r="H420">
        <f t="shared" si="25"/>
        <v>7.49153</v>
      </c>
      <c r="I420">
        <v>41</v>
      </c>
      <c r="J420">
        <f t="shared" si="26"/>
        <v>307.15273000000002</v>
      </c>
      <c r="K420">
        <f t="shared" si="27"/>
        <v>307.15273000000002</v>
      </c>
    </row>
    <row r="421" spans="2:11" x14ac:dyDescent="0.25">
      <c r="B421" s="4">
        <v>45861</v>
      </c>
      <c r="C421" t="s">
        <v>68</v>
      </c>
      <c r="E421" t="s">
        <v>63</v>
      </c>
      <c r="F421" t="s">
        <v>88</v>
      </c>
      <c r="G421" s="2">
        <v>5.0000000000000001E-3</v>
      </c>
      <c r="H421">
        <f t="shared" si="25"/>
        <v>2.0991499999999998</v>
      </c>
      <c r="I421">
        <v>41</v>
      </c>
      <c r="J421">
        <f t="shared" si="26"/>
        <v>86.065149999999988</v>
      </c>
      <c r="K421">
        <f t="shared" si="27"/>
        <v>86.065149999999988</v>
      </c>
    </row>
    <row r="422" spans="2:11" x14ac:dyDescent="0.25">
      <c r="B422" s="4">
        <v>45861</v>
      </c>
      <c r="C422" t="s">
        <v>68</v>
      </c>
      <c r="E422" t="s">
        <v>21</v>
      </c>
      <c r="F422" t="s">
        <v>88</v>
      </c>
      <c r="G422" s="2">
        <v>0</v>
      </c>
      <c r="H422">
        <f t="shared" si="25"/>
        <v>0.17330000000000001</v>
      </c>
      <c r="I422">
        <v>41</v>
      </c>
      <c r="J422">
        <f t="shared" si="26"/>
        <v>7.1053000000000006</v>
      </c>
      <c r="K422">
        <f t="shared" si="27"/>
        <v>7.1053000000000006</v>
      </c>
    </row>
    <row r="423" spans="2:11" x14ac:dyDescent="0.25">
      <c r="B423" s="4">
        <v>45861</v>
      </c>
      <c r="C423" t="s">
        <v>68</v>
      </c>
      <c r="D423" t="s">
        <v>67</v>
      </c>
      <c r="E423">
        <v>1</v>
      </c>
      <c r="F423" t="s">
        <v>88</v>
      </c>
      <c r="G423" s="2">
        <v>4.0000000000000001E-3</v>
      </c>
      <c r="H423">
        <f t="shared" si="25"/>
        <v>1.7139800000000001</v>
      </c>
      <c r="I423">
        <v>1</v>
      </c>
      <c r="J423">
        <f t="shared" si="26"/>
        <v>1.7139800000000001</v>
      </c>
      <c r="K423">
        <f t="shared" si="27"/>
        <v>1.7139800000000001</v>
      </c>
    </row>
    <row r="424" spans="2:11" x14ac:dyDescent="0.25">
      <c r="B424" s="4">
        <v>45861</v>
      </c>
      <c r="C424" t="s">
        <v>68</v>
      </c>
      <c r="D424" t="s">
        <v>67</v>
      </c>
      <c r="E424">
        <v>2</v>
      </c>
      <c r="F424" t="s">
        <v>88</v>
      </c>
      <c r="G424" s="2">
        <v>2E-3</v>
      </c>
      <c r="H424">
        <f t="shared" si="25"/>
        <v>0.94364000000000003</v>
      </c>
      <c r="I424">
        <v>1</v>
      </c>
      <c r="J424">
        <f t="shared" si="26"/>
        <v>0.94364000000000003</v>
      </c>
      <c r="K424">
        <f t="shared" si="27"/>
        <v>0.94364000000000003</v>
      </c>
    </row>
    <row r="425" spans="2:11" x14ac:dyDescent="0.25">
      <c r="B425" s="4">
        <v>45861</v>
      </c>
      <c r="C425" t="s">
        <v>68</v>
      </c>
      <c r="D425" t="s">
        <v>67</v>
      </c>
      <c r="E425">
        <v>3</v>
      </c>
      <c r="F425" t="s">
        <v>88</v>
      </c>
      <c r="G425" s="2">
        <v>1E-3</v>
      </c>
      <c r="H425">
        <f t="shared" si="25"/>
        <v>0.55847000000000002</v>
      </c>
      <c r="I425">
        <v>1</v>
      </c>
      <c r="J425">
        <f t="shared" si="26"/>
        <v>0.55847000000000002</v>
      </c>
      <c r="K425">
        <f t="shared" si="27"/>
        <v>0.55847000000000002</v>
      </c>
    </row>
    <row r="426" spans="2:11" x14ac:dyDescent="0.25">
      <c r="B426" s="4">
        <v>45861</v>
      </c>
      <c r="C426" t="s">
        <v>34</v>
      </c>
      <c r="E426" t="s">
        <v>13</v>
      </c>
      <c r="F426" t="s">
        <v>88</v>
      </c>
      <c r="G426" s="2">
        <v>0</v>
      </c>
      <c r="H426">
        <f t="shared" si="25"/>
        <v>0.17330000000000001</v>
      </c>
      <c r="I426" s="2">
        <v>41</v>
      </c>
      <c r="J426">
        <f t="shared" si="26"/>
        <v>7.1053000000000006</v>
      </c>
      <c r="K426">
        <f t="shared" si="27"/>
        <v>7.1053000000000006</v>
      </c>
    </row>
    <row r="427" spans="2:11" x14ac:dyDescent="0.25">
      <c r="B427" s="4">
        <v>45861</v>
      </c>
      <c r="C427" t="s">
        <v>34</v>
      </c>
      <c r="E427" t="s">
        <v>14</v>
      </c>
      <c r="F427" t="s">
        <v>88</v>
      </c>
      <c r="G427" s="2">
        <v>2E-3</v>
      </c>
      <c r="H427">
        <f t="shared" si="25"/>
        <v>0.94364000000000003</v>
      </c>
      <c r="I427" s="2">
        <v>41</v>
      </c>
      <c r="J427">
        <f t="shared" si="26"/>
        <v>38.689239999999998</v>
      </c>
      <c r="K427">
        <f t="shared" si="27"/>
        <v>38.689239999999998</v>
      </c>
    </row>
    <row r="428" spans="2:11" x14ac:dyDescent="0.25">
      <c r="B428" s="4">
        <v>45861</v>
      </c>
      <c r="C428" t="s">
        <v>34</v>
      </c>
      <c r="E428" t="s">
        <v>15</v>
      </c>
      <c r="F428" t="s">
        <v>88</v>
      </c>
      <c r="G428" s="2">
        <v>4.2000000000000003E-2</v>
      </c>
      <c r="H428">
        <f t="shared" si="25"/>
        <v>16.350440000000003</v>
      </c>
      <c r="I428" s="2">
        <v>41</v>
      </c>
      <c r="J428">
        <f t="shared" si="26"/>
        <v>670.36804000000006</v>
      </c>
      <c r="K428">
        <f t="shared" si="27"/>
        <v>670.36804000000006</v>
      </c>
    </row>
    <row r="429" spans="2:11" x14ac:dyDescent="0.25">
      <c r="B429" s="4">
        <v>45861</v>
      </c>
      <c r="C429" t="s">
        <v>34</v>
      </c>
      <c r="E429" t="s">
        <v>61</v>
      </c>
      <c r="F429" t="s">
        <v>88</v>
      </c>
      <c r="G429" s="2">
        <v>4.4999999999999998E-2</v>
      </c>
      <c r="H429">
        <f t="shared" si="25"/>
        <v>17.505950000000002</v>
      </c>
      <c r="I429" s="2">
        <v>41</v>
      </c>
      <c r="J429">
        <f t="shared" si="26"/>
        <v>717.74395000000004</v>
      </c>
      <c r="K429">
        <f t="shared" si="27"/>
        <v>717.74395000000004</v>
      </c>
    </row>
    <row r="430" spans="2:11" x14ac:dyDescent="0.25">
      <c r="B430" s="4">
        <v>45861</v>
      </c>
      <c r="C430" t="s">
        <v>34</v>
      </c>
      <c r="E430" t="s">
        <v>16</v>
      </c>
      <c r="F430" t="s">
        <v>88</v>
      </c>
      <c r="G430" s="2">
        <v>0</v>
      </c>
      <c r="H430">
        <f t="shared" si="25"/>
        <v>0.17330000000000001</v>
      </c>
      <c r="I430" s="2">
        <v>41</v>
      </c>
      <c r="J430">
        <f t="shared" si="26"/>
        <v>7.1053000000000006</v>
      </c>
      <c r="K430">
        <f t="shared" si="27"/>
        <v>7.1053000000000006</v>
      </c>
    </row>
    <row r="431" spans="2:11" x14ac:dyDescent="0.25">
      <c r="B431" s="4">
        <v>45861</v>
      </c>
      <c r="C431" t="s">
        <v>34</v>
      </c>
      <c r="E431" t="s">
        <v>17</v>
      </c>
      <c r="F431" t="s">
        <v>88</v>
      </c>
      <c r="G431" s="2">
        <v>7.0000000000000001E-3</v>
      </c>
      <c r="H431">
        <f t="shared" si="25"/>
        <v>2.8694899999999999</v>
      </c>
      <c r="I431" s="2">
        <v>41</v>
      </c>
      <c r="J431">
        <f t="shared" si="26"/>
        <v>117.64909</v>
      </c>
      <c r="K431">
        <f t="shared" si="27"/>
        <v>117.64909</v>
      </c>
    </row>
    <row r="432" spans="2:11" x14ac:dyDescent="0.25">
      <c r="B432" s="4">
        <v>45861</v>
      </c>
      <c r="C432" t="s">
        <v>34</v>
      </c>
      <c r="E432" t="s">
        <v>12</v>
      </c>
      <c r="F432" t="s">
        <v>88</v>
      </c>
      <c r="G432" s="2">
        <v>0.03</v>
      </c>
      <c r="H432">
        <f t="shared" si="25"/>
        <v>11.728399999999999</v>
      </c>
      <c r="I432" s="2">
        <v>41</v>
      </c>
      <c r="J432">
        <f t="shared" si="26"/>
        <v>480.86439999999993</v>
      </c>
      <c r="K432">
        <f t="shared" si="27"/>
        <v>480.86439999999993</v>
      </c>
    </row>
    <row r="433" spans="2:11" x14ac:dyDescent="0.25">
      <c r="B433" s="4">
        <v>45861</v>
      </c>
      <c r="C433" t="s">
        <v>34</v>
      </c>
      <c r="E433" t="s">
        <v>62</v>
      </c>
      <c r="F433" t="s">
        <v>88</v>
      </c>
      <c r="G433" s="2">
        <v>1.9E-2</v>
      </c>
      <c r="H433">
        <f t="shared" si="25"/>
        <v>7.49153</v>
      </c>
      <c r="I433" s="2">
        <v>41</v>
      </c>
      <c r="J433">
        <f t="shared" si="26"/>
        <v>307.15273000000002</v>
      </c>
      <c r="K433">
        <f t="shared" si="27"/>
        <v>307.15273000000002</v>
      </c>
    </row>
    <row r="434" spans="2:11" x14ac:dyDescent="0.25">
      <c r="B434" s="4">
        <v>45861</v>
      </c>
      <c r="C434" t="s">
        <v>34</v>
      </c>
      <c r="E434" t="s">
        <v>18</v>
      </c>
      <c r="F434" t="s">
        <v>88</v>
      </c>
      <c r="G434" s="2">
        <v>4.8000000000000001E-2</v>
      </c>
      <c r="H434">
        <f t="shared" si="25"/>
        <v>18.661460000000002</v>
      </c>
      <c r="I434" s="2">
        <v>41</v>
      </c>
      <c r="J434">
        <f t="shared" si="26"/>
        <v>765.11986000000002</v>
      </c>
      <c r="K434">
        <f t="shared" si="27"/>
        <v>765.11986000000002</v>
      </c>
    </row>
    <row r="435" spans="2:11" x14ac:dyDescent="0.25">
      <c r="B435" s="4">
        <v>45861</v>
      </c>
      <c r="C435" t="s">
        <v>34</v>
      </c>
      <c r="E435" t="s">
        <v>19</v>
      </c>
      <c r="F435" t="s">
        <v>88</v>
      </c>
      <c r="G435" s="2">
        <v>0.19</v>
      </c>
      <c r="H435">
        <f t="shared" si="25"/>
        <v>73.355599999999995</v>
      </c>
      <c r="I435" s="2">
        <v>41</v>
      </c>
      <c r="J435">
        <f t="shared" si="26"/>
        <v>3007.5796</v>
      </c>
      <c r="K435">
        <f t="shared" si="27"/>
        <v>3007.5796</v>
      </c>
    </row>
    <row r="436" spans="2:11" x14ac:dyDescent="0.25">
      <c r="B436" s="4">
        <v>45861</v>
      </c>
      <c r="C436" t="s">
        <v>34</v>
      </c>
      <c r="E436" t="s">
        <v>20</v>
      </c>
      <c r="F436" t="s">
        <v>88</v>
      </c>
      <c r="G436" s="2">
        <v>0</v>
      </c>
      <c r="H436">
        <f t="shared" si="25"/>
        <v>0.17330000000000001</v>
      </c>
      <c r="I436" s="2">
        <v>41</v>
      </c>
      <c r="J436">
        <f t="shared" si="26"/>
        <v>7.1053000000000006</v>
      </c>
      <c r="K436">
        <f t="shared" si="27"/>
        <v>7.1053000000000006</v>
      </c>
    </row>
    <row r="437" spans="2:11" x14ac:dyDescent="0.25">
      <c r="B437" s="4">
        <v>45861</v>
      </c>
      <c r="C437" t="s">
        <v>34</v>
      </c>
      <c r="E437" t="s">
        <v>63</v>
      </c>
      <c r="F437" t="s">
        <v>88</v>
      </c>
      <c r="G437" s="2">
        <v>6.4000000000000001E-2</v>
      </c>
      <c r="H437">
        <f t="shared" si="25"/>
        <v>24.824180000000002</v>
      </c>
      <c r="I437" s="2">
        <v>41</v>
      </c>
      <c r="J437">
        <f t="shared" si="26"/>
        <v>1017.7913800000001</v>
      </c>
      <c r="K437">
        <f t="shared" si="27"/>
        <v>1017.7913800000001</v>
      </c>
    </row>
    <row r="438" spans="2:11" x14ac:dyDescent="0.25">
      <c r="B438" s="4">
        <v>45861</v>
      </c>
      <c r="C438" t="s">
        <v>34</v>
      </c>
      <c r="E438" t="s">
        <v>21</v>
      </c>
      <c r="F438" t="s">
        <v>88</v>
      </c>
      <c r="G438" s="2">
        <v>0</v>
      </c>
      <c r="H438">
        <f t="shared" si="25"/>
        <v>0.17330000000000001</v>
      </c>
      <c r="I438" s="2">
        <v>41</v>
      </c>
      <c r="J438">
        <f t="shared" si="26"/>
        <v>7.1053000000000006</v>
      </c>
      <c r="K438">
        <f t="shared" si="27"/>
        <v>7.1053000000000006</v>
      </c>
    </row>
    <row r="439" spans="2:11" x14ac:dyDescent="0.25">
      <c r="B439" s="4">
        <v>45861</v>
      </c>
      <c r="C439" t="s">
        <v>34</v>
      </c>
      <c r="E439" t="s">
        <v>22</v>
      </c>
      <c r="F439" t="s">
        <v>88</v>
      </c>
      <c r="G439" s="2">
        <v>0</v>
      </c>
      <c r="H439">
        <f t="shared" si="25"/>
        <v>0.17330000000000001</v>
      </c>
      <c r="I439" s="2">
        <v>41</v>
      </c>
      <c r="J439">
        <f t="shared" si="26"/>
        <v>7.1053000000000006</v>
      </c>
      <c r="K439">
        <f t="shared" si="27"/>
        <v>7.1053000000000006</v>
      </c>
    </row>
    <row r="440" spans="2:11" x14ac:dyDescent="0.25">
      <c r="B440" s="4">
        <v>45861</v>
      </c>
      <c r="C440" t="s">
        <v>34</v>
      </c>
      <c r="E440" t="s">
        <v>23</v>
      </c>
      <c r="F440" t="s">
        <v>88</v>
      </c>
      <c r="G440" s="2">
        <v>0</v>
      </c>
      <c r="H440">
        <f t="shared" si="25"/>
        <v>0.17330000000000001</v>
      </c>
      <c r="I440" s="2">
        <v>41</v>
      </c>
      <c r="J440">
        <f t="shared" si="26"/>
        <v>7.1053000000000006</v>
      </c>
      <c r="K440">
        <f t="shared" si="27"/>
        <v>7.1053000000000006</v>
      </c>
    </row>
    <row r="441" spans="2:11" x14ac:dyDescent="0.25">
      <c r="B441" s="4">
        <v>45861</v>
      </c>
      <c r="C441" t="s">
        <v>34</v>
      </c>
      <c r="E441" t="s">
        <v>64</v>
      </c>
      <c r="F441" t="s">
        <v>88</v>
      </c>
      <c r="G441" s="2">
        <v>1.9E-2</v>
      </c>
      <c r="H441">
        <f t="shared" si="25"/>
        <v>7.49153</v>
      </c>
      <c r="I441" s="2">
        <v>41</v>
      </c>
      <c r="J441">
        <f t="shared" si="26"/>
        <v>307.15273000000002</v>
      </c>
      <c r="K441">
        <f t="shared" si="27"/>
        <v>307.15273000000002</v>
      </c>
    </row>
    <row r="442" spans="2:11" x14ac:dyDescent="0.25">
      <c r="B442" s="4">
        <v>45861</v>
      </c>
      <c r="C442" t="s">
        <v>34</v>
      </c>
      <c r="E442" t="s">
        <v>24</v>
      </c>
      <c r="F442" t="s">
        <v>88</v>
      </c>
      <c r="G442" s="2">
        <v>3.3000000000000002E-2</v>
      </c>
      <c r="H442">
        <f t="shared" si="25"/>
        <v>12.88391</v>
      </c>
      <c r="I442" s="2">
        <v>41</v>
      </c>
      <c r="J442">
        <f t="shared" si="26"/>
        <v>528.24031000000002</v>
      </c>
      <c r="K442">
        <f t="shared" si="27"/>
        <v>528.24031000000002</v>
      </c>
    </row>
    <row r="443" spans="2:11" x14ac:dyDescent="0.25">
      <c r="B443" s="4">
        <v>45861</v>
      </c>
      <c r="C443" t="s">
        <v>34</v>
      </c>
      <c r="E443" t="s">
        <v>25</v>
      </c>
      <c r="F443" t="s">
        <v>88</v>
      </c>
      <c r="G443" s="2">
        <v>0</v>
      </c>
      <c r="H443">
        <f t="shared" si="25"/>
        <v>0.17330000000000001</v>
      </c>
      <c r="I443" s="2">
        <v>41</v>
      </c>
      <c r="J443">
        <f t="shared" si="26"/>
        <v>7.1053000000000006</v>
      </c>
      <c r="K443">
        <f t="shared" si="27"/>
        <v>7.1053000000000006</v>
      </c>
    </row>
    <row r="444" spans="2:11" x14ac:dyDescent="0.25">
      <c r="B444" s="4">
        <v>45861</v>
      </c>
      <c r="C444" t="s">
        <v>34</v>
      </c>
      <c r="E444" t="s">
        <v>26</v>
      </c>
      <c r="F444" t="s">
        <v>88</v>
      </c>
      <c r="G444" s="2">
        <v>8.9999999999999993E-3</v>
      </c>
      <c r="H444">
        <f t="shared" si="25"/>
        <v>3.6398299999999999</v>
      </c>
      <c r="I444" s="2">
        <v>41</v>
      </c>
      <c r="J444">
        <f t="shared" si="26"/>
        <v>149.23302999999999</v>
      </c>
      <c r="K444">
        <f t="shared" si="27"/>
        <v>149.23302999999999</v>
      </c>
    </row>
    <row r="445" spans="2:11" x14ac:dyDescent="0.25">
      <c r="B445" s="4">
        <v>45861</v>
      </c>
      <c r="C445" t="s">
        <v>34</v>
      </c>
      <c r="E445" t="s">
        <v>65</v>
      </c>
      <c r="F445" t="s">
        <v>88</v>
      </c>
      <c r="G445" s="2">
        <v>2.1999999999999999E-2</v>
      </c>
      <c r="H445">
        <f t="shared" si="25"/>
        <v>8.6470399999999987</v>
      </c>
      <c r="I445" s="2">
        <v>41</v>
      </c>
      <c r="J445">
        <f t="shared" si="26"/>
        <v>354.52863999999994</v>
      </c>
      <c r="K445">
        <f t="shared" si="27"/>
        <v>354.52863999999994</v>
      </c>
    </row>
    <row r="446" spans="2:11" x14ac:dyDescent="0.25">
      <c r="B446" s="4">
        <v>45861</v>
      </c>
      <c r="C446" t="s">
        <v>34</v>
      </c>
      <c r="E446" t="s">
        <v>27</v>
      </c>
      <c r="F446" t="s">
        <v>88</v>
      </c>
      <c r="G446" s="2">
        <v>1.9E-2</v>
      </c>
      <c r="H446">
        <f t="shared" si="25"/>
        <v>7.49153</v>
      </c>
      <c r="I446" s="2">
        <v>41</v>
      </c>
      <c r="J446">
        <f t="shared" si="26"/>
        <v>307.15273000000002</v>
      </c>
      <c r="K446">
        <f t="shared" si="27"/>
        <v>307.15273000000002</v>
      </c>
    </row>
    <row r="447" spans="2:11" x14ac:dyDescent="0.25">
      <c r="B447" s="4">
        <v>45861</v>
      </c>
      <c r="C447" t="s">
        <v>34</v>
      </c>
      <c r="E447" t="s">
        <v>28</v>
      </c>
      <c r="F447" t="s">
        <v>88</v>
      </c>
      <c r="G447" s="2">
        <v>3.1E-2</v>
      </c>
      <c r="H447">
        <f t="shared" si="25"/>
        <v>12.113569999999999</v>
      </c>
      <c r="I447" s="2">
        <v>41</v>
      </c>
      <c r="J447">
        <f t="shared" si="26"/>
        <v>496.65636999999998</v>
      </c>
      <c r="K447">
        <f t="shared" si="27"/>
        <v>496.65636999999998</v>
      </c>
    </row>
    <row r="448" spans="2:11" x14ac:dyDescent="0.25">
      <c r="B448" s="4">
        <v>45861</v>
      </c>
      <c r="C448" t="s">
        <v>34</v>
      </c>
      <c r="D448" t="s">
        <v>67</v>
      </c>
      <c r="E448">
        <v>1</v>
      </c>
      <c r="F448" t="s">
        <v>88</v>
      </c>
      <c r="G448" s="2">
        <v>1.7999999999999999E-2</v>
      </c>
      <c r="H448">
        <f t="shared" si="25"/>
        <v>7.1063599999999996</v>
      </c>
      <c r="I448" s="2">
        <v>1</v>
      </c>
      <c r="J448">
        <f t="shared" si="26"/>
        <v>7.1063599999999996</v>
      </c>
      <c r="K448">
        <f t="shared" si="27"/>
        <v>7.1063599999999996</v>
      </c>
    </row>
    <row r="449" spans="2:11" x14ac:dyDescent="0.25">
      <c r="B449" s="4">
        <v>45861</v>
      </c>
      <c r="C449" t="s">
        <v>34</v>
      </c>
      <c r="D449" t="s">
        <v>67</v>
      </c>
      <c r="E449">
        <v>2</v>
      </c>
      <c r="F449" t="s">
        <v>88</v>
      </c>
      <c r="G449" s="2">
        <v>1.9E-2</v>
      </c>
      <c r="H449">
        <f t="shared" si="25"/>
        <v>7.49153</v>
      </c>
      <c r="I449" s="2">
        <v>1</v>
      </c>
      <c r="J449">
        <f t="shared" si="26"/>
        <v>7.49153</v>
      </c>
      <c r="K449">
        <f t="shared" si="27"/>
        <v>7.49153</v>
      </c>
    </row>
    <row r="450" spans="2:11" x14ac:dyDescent="0.25">
      <c r="B450" s="4">
        <v>45861</v>
      </c>
      <c r="C450" t="s">
        <v>34</v>
      </c>
      <c r="D450" t="s">
        <v>67</v>
      </c>
      <c r="E450">
        <v>3</v>
      </c>
      <c r="F450" t="s">
        <v>88</v>
      </c>
      <c r="G450" s="2">
        <v>5.3999999999999999E-2</v>
      </c>
      <c r="H450">
        <f t="shared" si="25"/>
        <v>20.972480000000001</v>
      </c>
      <c r="I450" s="2">
        <v>1</v>
      </c>
      <c r="J450">
        <f t="shared" si="26"/>
        <v>20.972480000000001</v>
      </c>
      <c r="K450">
        <f t="shared" si="27"/>
        <v>20.972480000000001</v>
      </c>
    </row>
    <row r="451" spans="2:11" x14ac:dyDescent="0.25">
      <c r="B451" s="4">
        <v>45862</v>
      </c>
      <c r="C451" t="s">
        <v>70</v>
      </c>
      <c r="E451" t="s">
        <v>13</v>
      </c>
      <c r="F451" t="s">
        <v>88</v>
      </c>
      <c r="G451">
        <v>0</v>
      </c>
      <c r="H451">
        <f t="shared" si="25"/>
        <v>0.17330000000000001</v>
      </c>
      <c r="I451" s="2">
        <v>41</v>
      </c>
      <c r="J451">
        <f t="shared" si="26"/>
        <v>7.1053000000000006</v>
      </c>
      <c r="K451">
        <f t="shared" si="27"/>
        <v>7.1053000000000006</v>
      </c>
    </row>
    <row r="452" spans="2:11" x14ac:dyDescent="0.25">
      <c r="B452" s="4">
        <v>45862</v>
      </c>
      <c r="C452" t="s">
        <v>70</v>
      </c>
      <c r="E452" t="s">
        <v>14</v>
      </c>
      <c r="F452" t="s">
        <v>88</v>
      </c>
      <c r="G452" s="2">
        <v>0</v>
      </c>
      <c r="H452">
        <f t="shared" si="25"/>
        <v>0.17330000000000001</v>
      </c>
      <c r="I452" s="2">
        <v>41</v>
      </c>
      <c r="J452">
        <f t="shared" si="26"/>
        <v>7.1053000000000006</v>
      </c>
      <c r="K452">
        <f t="shared" si="27"/>
        <v>7.1053000000000006</v>
      </c>
    </row>
    <row r="453" spans="2:11" x14ac:dyDescent="0.25">
      <c r="B453" s="4">
        <v>45862</v>
      </c>
      <c r="C453" t="s">
        <v>70</v>
      </c>
      <c r="E453" t="s">
        <v>15</v>
      </c>
      <c r="F453" t="s">
        <v>88</v>
      </c>
      <c r="G453" s="2">
        <v>0</v>
      </c>
      <c r="H453">
        <f t="shared" si="25"/>
        <v>0.17330000000000001</v>
      </c>
      <c r="I453" s="2">
        <v>41</v>
      </c>
      <c r="J453">
        <f t="shared" si="26"/>
        <v>7.1053000000000006</v>
      </c>
      <c r="K453">
        <f t="shared" si="27"/>
        <v>7.1053000000000006</v>
      </c>
    </row>
    <row r="454" spans="2:11" x14ac:dyDescent="0.25">
      <c r="B454" s="4">
        <v>45862</v>
      </c>
      <c r="C454" t="s">
        <v>70</v>
      </c>
      <c r="E454" t="s">
        <v>61</v>
      </c>
      <c r="F454" t="s">
        <v>88</v>
      </c>
      <c r="G454" s="2">
        <v>1E-3</v>
      </c>
      <c r="H454">
        <f t="shared" si="25"/>
        <v>0.55847000000000002</v>
      </c>
      <c r="I454" s="2">
        <v>41</v>
      </c>
      <c r="J454">
        <f t="shared" si="26"/>
        <v>22.897270000000002</v>
      </c>
      <c r="K454">
        <f t="shared" si="27"/>
        <v>22.897270000000002</v>
      </c>
    </row>
    <row r="455" spans="2:11" x14ac:dyDescent="0.25">
      <c r="B455" s="4">
        <v>45862</v>
      </c>
      <c r="C455" t="s">
        <v>70</v>
      </c>
      <c r="E455" t="s">
        <v>16</v>
      </c>
      <c r="F455" t="s">
        <v>88</v>
      </c>
      <c r="G455" s="2">
        <v>1.4999999999999999E-2</v>
      </c>
      <c r="H455">
        <f t="shared" si="25"/>
        <v>5.95085</v>
      </c>
      <c r="I455" s="2">
        <v>41</v>
      </c>
      <c r="J455">
        <f t="shared" si="26"/>
        <v>243.98484999999999</v>
      </c>
      <c r="K455">
        <f t="shared" si="27"/>
        <v>243.98484999999999</v>
      </c>
    </row>
    <row r="456" spans="2:11" x14ac:dyDescent="0.25">
      <c r="B456" s="4">
        <v>45862</v>
      </c>
      <c r="C456" t="s">
        <v>70</v>
      </c>
      <c r="E456" t="s">
        <v>17</v>
      </c>
      <c r="F456" t="s">
        <v>88</v>
      </c>
      <c r="G456" s="2">
        <v>0</v>
      </c>
      <c r="H456">
        <f t="shared" si="25"/>
        <v>0.17330000000000001</v>
      </c>
      <c r="I456" s="2">
        <v>41</v>
      </c>
      <c r="J456">
        <f t="shared" si="26"/>
        <v>7.1053000000000006</v>
      </c>
      <c r="K456">
        <f t="shared" si="27"/>
        <v>7.1053000000000006</v>
      </c>
    </row>
    <row r="457" spans="2:11" x14ac:dyDescent="0.25">
      <c r="B457" s="4">
        <v>45862</v>
      </c>
      <c r="C457" t="s">
        <v>70</v>
      </c>
      <c r="E457" t="s">
        <v>12</v>
      </c>
      <c r="F457" t="s">
        <v>88</v>
      </c>
      <c r="G457" s="2">
        <v>3.0000000000000001E-3</v>
      </c>
      <c r="H457">
        <f t="shared" si="25"/>
        <v>1.32881</v>
      </c>
      <c r="I457" s="2">
        <v>41</v>
      </c>
      <c r="J457">
        <f t="shared" si="26"/>
        <v>54.481210000000004</v>
      </c>
      <c r="K457">
        <f t="shared" si="27"/>
        <v>54.481210000000004</v>
      </c>
    </row>
    <row r="458" spans="2:11" x14ac:dyDescent="0.25">
      <c r="B458" s="4">
        <v>45862</v>
      </c>
      <c r="C458" t="s">
        <v>70</v>
      </c>
      <c r="E458" t="s">
        <v>62</v>
      </c>
      <c r="F458" t="s">
        <v>88</v>
      </c>
      <c r="G458" s="2">
        <v>0</v>
      </c>
      <c r="H458">
        <f t="shared" si="25"/>
        <v>0.17330000000000001</v>
      </c>
      <c r="I458" s="2">
        <v>41</v>
      </c>
      <c r="J458">
        <f t="shared" si="26"/>
        <v>7.1053000000000006</v>
      </c>
      <c r="K458">
        <f t="shared" si="27"/>
        <v>7.1053000000000006</v>
      </c>
    </row>
    <row r="459" spans="2:11" x14ac:dyDescent="0.25">
      <c r="B459" s="4">
        <v>45862</v>
      </c>
      <c r="C459" t="s">
        <v>70</v>
      </c>
      <c r="E459" t="s">
        <v>18</v>
      </c>
      <c r="F459" t="s">
        <v>88</v>
      </c>
      <c r="G459" s="2">
        <v>0</v>
      </c>
      <c r="H459">
        <f t="shared" si="25"/>
        <v>0.17330000000000001</v>
      </c>
      <c r="I459" s="2">
        <v>41</v>
      </c>
      <c r="J459">
        <f t="shared" si="26"/>
        <v>7.1053000000000006</v>
      </c>
      <c r="K459">
        <f t="shared" si="27"/>
        <v>7.1053000000000006</v>
      </c>
    </row>
    <row r="460" spans="2:11" x14ac:dyDescent="0.25">
      <c r="B460" s="4">
        <v>45862</v>
      </c>
      <c r="C460" t="s">
        <v>70</v>
      </c>
      <c r="E460" t="s">
        <v>19</v>
      </c>
      <c r="F460" t="s">
        <v>88</v>
      </c>
      <c r="G460" s="2">
        <v>0</v>
      </c>
      <c r="H460">
        <f t="shared" si="25"/>
        <v>0.17330000000000001</v>
      </c>
      <c r="I460" s="2">
        <v>41</v>
      </c>
      <c r="J460">
        <f t="shared" si="26"/>
        <v>7.1053000000000006</v>
      </c>
      <c r="K460">
        <f t="shared" si="27"/>
        <v>7.1053000000000006</v>
      </c>
    </row>
    <row r="461" spans="2:11" x14ac:dyDescent="0.25">
      <c r="B461" s="4">
        <v>45862</v>
      </c>
      <c r="C461" t="s">
        <v>70</v>
      </c>
      <c r="E461" t="s">
        <v>20</v>
      </c>
      <c r="F461" t="s">
        <v>88</v>
      </c>
      <c r="G461" s="2">
        <v>1.2999999999999999E-2</v>
      </c>
      <c r="H461">
        <f t="shared" si="25"/>
        <v>5.1805099999999999</v>
      </c>
      <c r="I461" s="2">
        <v>41</v>
      </c>
      <c r="J461">
        <f t="shared" si="26"/>
        <v>212.40091000000001</v>
      </c>
      <c r="K461">
        <f t="shared" si="27"/>
        <v>212.40091000000001</v>
      </c>
    </row>
    <row r="462" spans="2:11" x14ac:dyDescent="0.25">
      <c r="B462" s="4">
        <v>45862</v>
      </c>
      <c r="C462" t="s">
        <v>70</v>
      </c>
      <c r="E462" t="s">
        <v>63</v>
      </c>
      <c r="F462" t="s">
        <v>88</v>
      </c>
      <c r="G462" s="2">
        <v>2.3E-2</v>
      </c>
      <c r="H462">
        <f t="shared" si="25"/>
        <v>9.0322099999999992</v>
      </c>
      <c r="I462" s="2">
        <v>41</v>
      </c>
      <c r="J462">
        <f t="shared" si="26"/>
        <v>370.32060999999999</v>
      </c>
      <c r="K462">
        <f t="shared" si="27"/>
        <v>370.32060999999999</v>
      </c>
    </row>
    <row r="463" spans="2:11" x14ac:dyDescent="0.25">
      <c r="B463" s="4">
        <v>45862</v>
      </c>
      <c r="C463" t="s">
        <v>70</v>
      </c>
      <c r="E463" t="s">
        <v>21</v>
      </c>
      <c r="F463" t="s">
        <v>88</v>
      </c>
      <c r="G463" s="2">
        <v>0</v>
      </c>
      <c r="H463">
        <f t="shared" si="25"/>
        <v>0.17330000000000001</v>
      </c>
      <c r="I463" s="2">
        <v>41</v>
      </c>
      <c r="J463">
        <f t="shared" si="26"/>
        <v>7.1053000000000006</v>
      </c>
      <c r="K463">
        <f t="shared" si="27"/>
        <v>7.1053000000000006</v>
      </c>
    </row>
    <row r="464" spans="2:11" x14ac:dyDescent="0.25">
      <c r="B464" s="4">
        <v>45862</v>
      </c>
      <c r="C464" t="s">
        <v>70</v>
      </c>
      <c r="E464" t="s">
        <v>22</v>
      </c>
      <c r="F464" t="s">
        <v>88</v>
      </c>
      <c r="G464" s="2">
        <v>3.0000000000000001E-3</v>
      </c>
      <c r="H464">
        <f t="shared" si="25"/>
        <v>1.32881</v>
      </c>
      <c r="I464" s="2">
        <v>41</v>
      </c>
      <c r="J464">
        <f t="shared" si="26"/>
        <v>54.481210000000004</v>
      </c>
      <c r="K464">
        <f t="shared" si="27"/>
        <v>54.481210000000004</v>
      </c>
    </row>
    <row r="465" spans="2:11" x14ac:dyDescent="0.25">
      <c r="B465" s="4">
        <v>45862</v>
      </c>
      <c r="C465" t="s">
        <v>70</v>
      </c>
      <c r="E465" t="s">
        <v>23</v>
      </c>
      <c r="F465" t="s">
        <v>88</v>
      </c>
      <c r="G465" s="2">
        <v>1.4E-2</v>
      </c>
      <c r="H465">
        <f t="shared" si="25"/>
        <v>5.5656800000000004</v>
      </c>
      <c r="I465" s="2">
        <v>41</v>
      </c>
      <c r="J465">
        <f t="shared" si="26"/>
        <v>228.19288</v>
      </c>
      <c r="K465">
        <f t="shared" si="27"/>
        <v>228.19288</v>
      </c>
    </row>
    <row r="466" spans="2:11" x14ac:dyDescent="0.25">
      <c r="B466" s="4">
        <v>45862</v>
      </c>
      <c r="C466" t="s">
        <v>70</v>
      </c>
      <c r="E466" t="s">
        <v>64</v>
      </c>
      <c r="F466" t="s">
        <v>88</v>
      </c>
      <c r="G466" s="2">
        <v>2.1000000000000001E-2</v>
      </c>
      <c r="H466">
        <f t="shared" si="25"/>
        <v>8.26187</v>
      </c>
      <c r="I466" s="2">
        <v>41</v>
      </c>
      <c r="J466">
        <f t="shared" si="26"/>
        <v>338.73667</v>
      </c>
      <c r="K466">
        <f t="shared" si="27"/>
        <v>338.73667</v>
      </c>
    </row>
    <row r="467" spans="2:11" x14ac:dyDescent="0.25">
      <c r="B467" s="4">
        <v>45862</v>
      </c>
      <c r="C467" t="s">
        <v>70</v>
      </c>
      <c r="E467" t="s">
        <v>24</v>
      </c>
      <c r="F467" t="s">
        <v>88</v>
      </c>
      <c r="G467" s="2">
        <v>1.2E-2</v>
      </c>
      <c r="H467">
        <f t="shared" si="25"/>
        <v>4.7953400000000004</v>
      </c>
      <c r="I467" s="2">
        <v>41</v>
      </c>
      <c r="J467">
        <f t="shared" si="26"/>
        <v>196.60894000000002</v>
      </c>
      <c r="K467">
        <f t="shared" si="27"/>
        <v>196.60894000000002</v>
      </c>
    </row>
    <row r="468" spans="2:11" x14ac:dyDescent="0.25">
      <c r="B468" s="4">
        <v>45862</v>
      </c>
      <c r="C468" t="s">
        <v>70</v>
      </c>
      <c r="E468" t="s">
        <v>25</v>
      </c>
      <c r="F468" t="s">
        <v>88</v>
      </c>
      <c r="G468" s="2">
        <v>1.7000000000000001E-2</v>
      </c>
      <c r="H468">
        <f t="shared" si="25"/>
        <v>6.7211900000000009</v>
      </c>
      <c r="I468" s="2">
        <v>41</v>
      </c>
      <c r="J468">
        <f t="shared" si="26"/>
        <v>275.56879000000004</v>
      </c>
      <c r="K468">
        <f t="shared" si="27"/>
        <v>275.56879000000004</v>
      </c>
    </row>
    <row r="469" spans="2:11" x14ac:dyDescent="0.25">
      <c r="B469" s="4">
        <v>45862</v>
      </c>
      <c r="C469" t="s">
        <v>70</v>
      </c>
      <c r="E469" t="s">
        <v>26</v>
      </c>
      <c r="F469" t="s">
        <v>88</v>
      </c>
      <c r="G469" s="2">
        <v>0</v>
      </c>
      <c r="H469">
        <f t="shared" si="25"/>
        <v>0.17330000000000001</v>
      </c>
      <c r="I469" s="2">
        <v>41</v>
      </c>
      <c r="J469">
        <f t="shared" si="26"/>
        <v>7.1053000000000006</v>
      </c>
      <c r="K469">
        <f t="shared" si="27"/>
        <v>7.1053000000000006</v>
      </c>
    </row>
    <row r="470" spans="2:11" x14ac:dyDescent="0.25">
      <c r="B470" s="4">
        <v>45862</v>
      </c>
      <c r="C470" t="s">
        <v>70</v>
      </c>
      <c r="E470" t="s">
        <v>65</v>
      </c>
      <c r="F470" t="s">
        <v>88</v>
      </c>
      <c r="G470" s="2">
        <v>1.4E-2</v>
      </c>
      <c r="H470">
        <f t="shared" si="25"/>
        <v>5.5656800000000004</v>
      </c>
      <c r="I470" s="2">
        <v>41</v>
      </c>
      <c r="J470">
        <f t="shared" si="26"/>
        <v>228.19288</v>
      </c>
      <c r="K470">
        <f t="shared" si="27"/>
        <v>228.19288</v>
      </c>
    </row>
    <row r="471" spans="2:11" x14ac:dyDescent="0.25">
      <c r="B471" s="4">
        <v>45862</v>
      </c>
      <c r="C471" t="s">
        <v>70</v>
      </c>
      <c r="E471" t="s">
        <v>27</v>
      </c>
      <c r="F471" t="s">
        <v>88</v>
      </c>
      <c r="G471" s="2">
        <v>0</v>
      </c>
      <c r="H471">
        <f t="shared" si="25"/>
        <v>0.17330000000000001</v>
      </c>
      <c r="I471" s="2">
        <v>41</v>
      </c>
      <c r="J471">
        <f t="shared" si="26"/>
        <v>7.1053000000000006</v>
      </c>
      <c r="K471">
        <f t="shared" si="27"/>
        <v>7.1053000000000006</v>
      </c>
    </row>
    <row r="472" spans="2:11" x14ac:dyDescent="0.25">
      <c r="B472" s="4">
        <v>45862</v>
      </c>
      <c r="C472" t="s">
        <v>70</v>
      </c>
      <c r="E472" t="s">
        <v>28</v>
      </c>
      <c r="F472" t="s">
        <v>88</v>
      </c>
      <c r="G472" s="2">
        <v>1.0999999999999999E-2</v>
      </c>
      <c r="H472">
        <f t="shared" si="25"/>
        <v>4.4101699999999999</v>
      </c>
      <c r="I472" s="2">
        <v>41</v>
      </c>
      <c r="J472">
        <f t="shared" si="26"/>
        <v>180.81697</v>
      </c>
      <c r="K472">
        <f t="shared" si="27"/>
        <v>180.81697</v>
      </c>
    </row>
    <row r="473" spans="2:11" x14ac:dyDescent="0.25">
      <c r="B473" s="4">
        <v>45862</v>
      </c>
      <c r="C473" t="s">
        <v>70</v>
      </c>
      <c r="E473" t="s">
        <v>29</v>
      </c>
      <c r="F473" t="s">
        <v>88</v>
      </c>
      <c r="G473" s="2">
        <v>1.0999999999999999E-2</v>
      </c>
      <c r="H473">
        <f t="shared" si="25"/>
        <v>4.4101699999999999</v>
      </c>
      <c r="I473" s="2">
        <v>41</v>
      </c>
      <c r="J473">
        <f t="shared" si="26"/>
        <v>180.81697</v>
      </c>
      <c r="K473">
        <f t="shared" si="27"/>
        <v>180.81697</v>
      </c>
    </row>
    <row r="474" spans="2:11" x14ac:dyDescent="0.25">
      <c r="B474" s="4">
        <v>45862</v>
      </c>
      <c r="C474" t="s">
        <v>70</v>
      </c>
      <c r="E474" t="s">
        <v>66</v>
      </c>
      <c r="F474" t="s">
        <v>88</v>
      </c>
      <c r="G474" s="2">
        <v>2.3E-2</v>
      </c>
      <c r="H474">
        <f t="shared" si="25"/>
        <v>9.0322099999999992</v>
      </c>
      <c r="I474" s="2">
        <v>41</v>
      </c>
      <c r="J474">
        <f t="shared" si="26"/>
        <v>370.32060999999999</v>
      </c>
      <c r="K474">
        <f t="shared" si="27"/>
        <v>370.32060999999999</v>
      </c>
    </row>
    <row r="475" spans="2:11" x14ac:dyDescent="0.25">
      <c r="B475" s="4">
        <v>45862</v>
      </c>
      <c r="C475" t="s">
        <v>70</v>
      </c>
      <c r="D475" t="s">
        <v>67</v>
      </c>
      <c r="E475">
        <v>1</v>
      </c>
      <c r="F475" t="s">
        <v>88</v>
      </c>
      <c r="G475" s="2">
        <v>1.7999999999999999E-2</v>
      </c>
      <c r="H475">
        <f t="shared" si="25"/>
        <v>7.1063599999999996</v>
      </c>
      <c r="I475" s="2">
        <v>1</v>
      </c>
      <c r="J475">
        <f t="shared" si="26"/>
        <v>7.1063599999999996</v>
      </c>
      <c r="K475">
        <f t="shared" si="27"/>
        <v>7.1063599999999996</v>
      </c>
    </row>
    <row r="476" spans="2:11" x14ac:dyDescent="0.25">
      <c r="B476" s="4">
        <v>45862</v>
      </c>
      <c r="C476" t="s">
        <v>70</v>
      </c>
      <c r="D476" t="s">
        <v>67</v>
      </c>
      <c r="E476">
        <v>2</v>
      </c>
      <c r="F476" t="s">
        <v>88</v>
      </c>
      <c r="G476" s="2">
        <v>4.1000000000000002E-2</v>
      </c>
      <c r="H476">
        <f t="shared" ref="H476:H539" si="28">(385.17*G476)+0.1733</f>
        <v>15.96527</v>
      </c>
      <c r="I476" s="2">
        <v>1</v>
      </c>
      <c r="J476">
        <f t="shared" ref="J476:J539" si="29">H476*I476</f>
        <v>15.96527</v>
      </c>
      <c r="K476">
        <f t="shared" ref="K476:K539" si="30">MAX(J476,0)</f>
        <v>15.96527</v>
      </c>
    </row>
    <row r="477" spans="2:11" x14ac:dyDescent="0.25">
      <c r="B477" s="4">
        <v>45862</v>
      </c>
      <c r="C477" t="s">
        <v>70</v>
      </c>
      <c r="D477" t="s">
        <v>67</v>
      </c>
      <c r="E477">
        <v>3</v>
      </c>
      <c r="F477" t="s">
        <v>88</v>
      </c>
      <c r="H477">
        <f t="shared" si="28"/>
        <v>0.17330000000000001</v>
      </c>
      <c r="I477" s="2">
        <v>1</v>
      </c>
      <c r="J477">
        <f t="shared" si="29"/>
        <v>0.17330000000000001</v>
      </c>
      <c r="K477">
        <f t="shared" si="30"/>
        <v>0.17330000000000001</v>
      </c>
    </row>
    <row r="478" spans="2:11" x14ac:dyDescent="0.25">
      <c r="B478" s="4">
        <v>45862</v>
      </c>
      <c r="C478" t="s">
        <v>71</v>
      </c>
      <c r="E478" t="s">
        <v>13</v>
      </c>
      <c r="F478" t="s">
        <v>88</v>
      </c>
      <c r="G478" s="2">
        <v>0</v>
      </c>
      <c r="H478">
        <f t="shared" si="28"/>
        <v>0.17330000000000001</v>
      </c>
      <c r="I478" s="2">
        <v>41</v>
      </c>
      <c r="J478">
        <f t="shared" si="29"/>
        <v>7.1053000000000006</v>
      </c>
      <c r="K478">
        <f t="shared" si="30"/>
        <v>7.1053000000000006</v>
      </c>
    </row>
    <row r="479" spans="2:11" x14ac:dyDescent="0.25">
      <c r="B479" s="4">
        <v>45862</v>
      </c>
      <c r="C479" t="s">
        <v>71</v>
      </c>
      <c r="E479" t="s">
        <v>14</v>
      </c>
      <c r="F479" t="s">
        <v>88</v>
      </c>
      <c r="G479" s="2">
        <v>1.9E-2</v>
      </c>
      <c r="H479">
        <f t="shared" si="28"/>
        <v>7.49153</v>
      </c>
      <c r="I479" s="2">
        <v>41</v>
      </c>
      <c r="J479">
        <f t="shared" si="29"/>
        <v>307.15273000000002</v>
      </c>
      <c r="K479">
        <f t="shared" si="30"/>
        <v>307.15273000000002</v>
      </c>
    </row>
    <row r="480" spans="2:11" x14ac:dyDescent="0.25">
      <c r="B480" s="4">
        <v>45862</v>
      </c>
      <c r="C480" t="s">
        <v>71</v>
      </c>
      <c r="E480" t="s">
        <v>15</v>
      </c>
      <c r="F480" t="s">
        <v>88</v>
      </c>
      <c r="G480" s="2">
        <v>1.2999999999999999E-2</v>
      </c>
      <c r="H480">
        <f t="shared" si="28"/>
        <v>5.1805099999999999</v>
      </c>
      <c r="I480" s="2">
        <v>41</v>
      </c>
      <c r="J480">
        <f t="shared" si="29"/>
        <v>212.40091000000001</v>
      </c>
      <c r="K480">
        <f t="shared" si="30"/>
        <v>212.40091000000001</v>
      </c>
    </row>
    <row r="481" spans="2:11" x14ac:dyDescent="0.25">
      <c r="B481" s="4">
        <v>45862</v>
      </c>
      <c r="C481" t="s">
        <v>71</v>
      </c>
      <c r="E481" t="s">
        <v>61</v>
      </c>
      <c r="F481" t="s">
        <v>88</v>
      </c>
      <c r="G481" s="2">
        <v>3.0000000000000001E-3</v>
      </c>
      <c r="H481">
        <f t="shared" si="28"/>
        <v>1.32881</v>
      </c>
      <c r="I481" s="2">
        <v>41</v>
      </c>
      <c r="J481">
        <f t="shared" si="29"/>
        <v>54.481210000000004</v>
      </c>
      <c r="K481">
        <f t="shared" si="30"/>
        <v>54.481210000000004</v>
      </c>
    </row>
    <row r="482" spans="2:11" x14ac:dyDescent="0.25">
      <c r="B482" s="4">
        <v>45862</v>
      </c>
      <c r="C482" t="s">
        <v>71</v>
      </c>
      <c r="E482" t="s">
        <v>16</v>
      </c>
      <c r="F482" t="s">
        <v>88</v>
      </c>
      <c r="G482" s="2">
        <v>1.6E-2</v>
      </c>
      <c r="H482">
        <f t="shared" si="28"/>
        <v>6.3360200000000004</v>
      </c>
      <c r="I482" s="2">
        <v>41</v>
      </c>
      <c r="J482">
        <f t="shared" si="29"/>
        <v>259.77682000000004</v>
      </c>
      <c r="K482">
        <f t="shared" si="30"/>
        <v>259.77682000000004</v>
      </c>
    </row>
    <row r="483" spans="2:11" x14ac:dyDescent="0.25">
      <c r="B483" s="4">
        <v>45862</v>
      </c>
      <c r="C483" t="s">
        <v>71</v>
      </c>
      <c r="E483" t="s">
        <v>17</v>
      </c>
      <c r="F483" t="s">
        <v>88</v>
      </c>
      <c r="G483" s="2">
        <v>0</v>
      </c>
      <c r="H483">
        <f t="shared" si="28"/>
        <v>0.17330000000000001</v>
      </c>
      <c r="I483" s="2">
        <v>41</v>
      </c>
      <c r="J483">
        <f t="shared" si="29"/>
        <v>7.1053000000000006</v>
      </c>
      <c r="K483">
        <f t="shared" si="30"/>
        <v>7.1053000000000006</v>
      </c>
    </row>
    <row r="484" spans="2:11" x14ac:dyDescent="0.25">
      <c r="B484" s="4">
        <v>45862</v>
      </c>
      <c r="C484" t="s">
        <v>71</v>
      </c>
      <c r="E484" t="s">
        <v>12</v>
      </c>
      <c r="F484" t="s">
        <v>88</v>
      </c>
      <c r="G484" s="2">
        <v>0</v>
      </c>
      <c r="H484">
        <f t="shared" si="28"/>
        <v>0.17330000000000001</v>
      </c>
      <c r="I484" s="2">
        <v>41</v>
      </c>
      <c r="J484">
        <f t="shared" si="29"/>
        <v>7.1053000000000006</v>
      </c>
      <c r="K484">
        <f t="shared" si="30"/>
        <v>7.1053000000000006</v>
      </c>
    </row>
    <row r="485" spans="2:11" x14ac:dyDescent="0.25">
      <c r="B485" s="4">
        <v>45862</v>
      </c>
      <c r="C485" t="s">
        <v>71</v>
      </c>
      <c r="E485" t="s">
        <v>62</v>
      </c>
      <c r="F485" t="s">
        <v>88</v>
      </c>
      <c r="G485" s="2">
        <v>0</v>
      </c>
      <c r="H485">
        <f t="shared" si="28"/>
        <v>0.17330000000000001</v>
      </c>
      <c r="I485" s="2">
        <v>41</v>
      </c>
      <c r="J485">
        <f t="shared" si="29"/>
        <v>7.1053000000000006</v>
      </c>
      <c r="K485">
        <f t="shared" si="30"/>
        <v>7.1053000000000006</v>
      </c>
    </row>
    <row r="486" spans="2:11" x14ac:dyDescent="0.25">
      <c r="B486" s="4">
        <v>45862</v>
      </c>
      <c r="C486" t="s">
        <v>71</v>
      </c>
      <c r="E486" t="s">
        <v>18</v>
      </c>
      <c r="F486" t="s">
        <v>88</v>
      </c>
      <c r="G486" s="2">
        <v>1.4999999999999999E-2</v>
      </c>
      <c r="H486">
        <f t="shared" si="28"/>
        <v>5.95085</v>
      </c>
      <c r="I486" s="2">
        <v>41</v>
      </c>
      <c r="J486">
        <f t="shared" si="29"/>
        <v>243.98484999999999</v>
      </c>
      <c r="K486">
        <f t="shared" si="30"/>
        <v>243.98484999999999</v>
      </c>
    </row>
    <row r="487" spans="2:11" x14ac:dyDescent="0.25">
      <c r="B487" s="4">
        <v>45862</v>
      </c>
      <c r="C487" t="s">
        <v>71</v>
      </c>
      <c r="E487" t="s">
        <v>19</v>
      </c>
      <c r="F487" t="s">
        <v>88</v>
      </c>
      <c r="G487" s="2">
        <v>1.4E-2</v>
      </c>
      <c r="H487">
        <f t="shared" si="28"/>
        <v>5.5656800000000004</v>
      </c>
      <c r="I487" s="2">
        <v>41</v>
      </c>
      <c r="J487">
        <f t="shared" si="29"/>
        <v>228.19288</v>
      </c>
      <c r="K487">
        <f t="shared" si="30"/>
        <v>228.19288</v>
      </c>
    </row>
    <row r="488" spans="2:11" x14ac:dyDescent="0.25">
      <c r="B488" s="4">
        <v>45862</v>
      </c>
      <c r="C488" t="s">
        <v>71</v>
      </c>
      <c r="E488" t="s">
        <v>20</v>
      </c>
      <c r="F488" t="s">
        <v>88</v>
      </c>
      <c r="G488" s="2">
        <v>1.7999999999999999E-2</v>
      </c>
      <c r="H488">
        <f t="shared" si="28"/>
        <v>7.1063599999999996</v>
      </c>
      <c r="I488" s="2">
        <v>41</v>
      </c>
      <c r="J488">
        <f t="shared" si="29"/>
        <v>291.36075999999997</v>
      </c>
      <c r="K488">
        <f t="shared" si="30"/>
        <v>291.36075999999997</v>
      </c>
    </row>
    <row r="489" spans="2:11" x14ac:dyDescent="0.25">
      <c r="B489" s="4">
        <v>45862</v>
      </c>
      <c r="C489" t="s">
        <v>71</v>
      </c>
      <c r="E489" t="s">
        <v>63</v>
      </c>
      <c r="F489" t="s">
        <v>88</v>
      </c>
      <c r="G489" s="2">
        <v>0</v>
      </c>
      <c r="H489">
        <f t="shared" si="28"/>
        <v>0.17330000000000001</v>
      </c>
      <c r="I489" s="2">
        <v>41</v>
      </c>
      <c r="J489">
        <f t="shared" si="29"/>
        <v>7.1053000000000006</v>
      </c>
      <c r="K489">
        <f t="shared" si="30"/>
        <v>7.1053000000000006</v>
      </c>
    </row>
    <row r="490" spans="2:11" x14ac:dyDescent="0.25">
      <c r="B490" s="4">
        <v>45862</v>
      </c>
      <c r="C490" t="s">
        <v>71</v>
      </c>
      <c r="E490" t="s">
        <v>21</v>
      </c>
      <c r="F490" t="s">
        <v>88</v>
      </c>
      <c r="G490" s="2">
        <v>1.2999999999999999E-2</v>
      </c>
      <c r="H490">
        <f t="shared" si="28"/>
        <v>5.1805099999999999</v>
      </c>
      <c r="I490" s="2">
        <v>41</v>
      </c>
      <c r="J490">
        <f t="shared" si="29"/>
        <v>212.40091000000001</v>
      </c>
      <c r="K490">
        <f t="shared" si="30"/>
        <v>212.40091000000001</v>
      </c>
    </row>
    <row r="491" spans="2:11" x14ac:dyDescent="0.25">
      <c r="B491" s="4">
        <v>45862</v>
      </c>
      <c r="C491" t="s">
        <v>71</v>
      </c>
      <c r="E491" t="s">
        <v>22</v>
      </c>
      <c r="F491" t="s">
        <v>88</v>
      </c>
      <c r="G491" s="2">
        <v>0</v>
      </c>
      <c r="H491">
        <f t="shared" si="28"/>
        <v>0.17330000000000001</v>
      </c>
      <c r="I491" s="2">
        <v>41</v>
      </c>
      <c r="J491">
        <f t="shared" si="29"/>
        <v>7.1053000000000006</v>
      </c>
      <c r="K491">
        <f t="shared" si="30"/>
        <v>7.1053000000000006</v>
      </c>
    </row>
    <row r="492" spans="2:11" x14ac:dyDescent="0.25">
      <c r="B492" s="4">
        <v>45862</v>
      </c>
      <c r="C492" t="s">
        <v>71</v>
      </c>
      <c r="E492" t="s">
        <v>23</v>
      </c>
      <c r="F492" t="s">
        <v>88</v>
      </c>
      <c r="G492" s="2">
        <v>2.4E-2</v>
      </c>
      <c r="H492">
        <f t="shared" si="28"/>
        <v>9.4173799999999996</v>
      </c>
      <c r="I492" s="2">
        <v>41</v>
      </c>
      <c r="J492">
        <f t="shared" si="29"/>
        <v>386.11257999999998</v>
      </c>
      <c r="K492">
        <f t="shared" si="30"/>
        <v>386.11257999999998</v>
      </c>
    </row>
    <row r="493" spans="2:11" x14ac:dyDescent="0.25">
      <c r="B493" s="4">
        <v>45862</v>
      </c>
      <c r="C493" t="s">
        <v>71</v>
      </c>
      <c r="E493" t="s">
        <v>64</v>
      </c>
      <c r="F493" t="s">
        <v>88</v>
      </c>
      <c r="G493" s="2">
        <v>5.5E-2</v>
      </c>
      <c r="H493">
        <f t="shared" si="28"/>
        <v>21.357650000000003</v>
      </c>
      <c r="I493" s="2">
        <v>41</v>
      </c>
      <c r="J493">
        <f t="shared" si="29"/>
        <v>875.66365000000008</v>
      </c>
      <c r="K493">
        <f t="shared" si="30"/>
        <v>875.66365000000008</v>
      </c>
    </row>
    <row r="494" spans="2:11" x14ac:dyDescent="0.25">
      <c r="B494" s="4">
        <v>45862</v>
      </c>
      <c r="C494" t="s">
        <v>71</v>
      </c>
      <c r="E494" t="s">
        <v>24</v>
      </c>
      <c r="F494" t="s">
        <v>88</v>
      </c>
      <c r="G494" s="2">
        <v>1.7000000000000001E-2</v>
      </c>
      <c r="H494">
        <f t="shared" si="28"/>
        <v>6.7211900000000009</v>
      </c>
      <c r="I494" s="2">
        <v>41</v>
      </c>
      <c r="J494">
        <f t="shared" si="29"/>
        <v>275.56879000000004</v>
      </c>
      <c r="K494">
        <f t="shared" si="30"/>
        <v>275.56879000000004</v>
      </c>
    </row>
    <row r="495" spans="2:11" x14ac:dyDescent="0.25">
      <c r="B495" s="4">
        <v>45862</v>
      </c>
      <c r="C495" t="s">
        <v>71</v>
      </c>
      <c r="E495" t="s">
        <v>25</v>
      </c>
      <c r="F495" t="s">
        <v>88</v>
      </c>
      <c r="G495" s="2">
        <v>1.4E-2</v>
      </c>
      <c r="H495">
        <f t="shared" si="28"/>
        <v>5.5656800000000004</v>
      </c>
      <c r="I495" s="2">
        <v>41</v>
      </c>
      <c r="J495">
        <f t="shared" si="29"/>
        <v>228.19288</v>
      </c>
      <c r="K495">
        <f t="shared" si="30"/>
        <v>228.19288</v>
      </c>
    </row>
    <row r="496" spans="2:11" x14ac:dyDescent="0.25">
      <c r="B496" s="4">
        <v>45862</v>
      </c>
      <c r="C496" t="s">
        <v>71</v>
      </c>
      <c r="E496" t="s">
        <v>26</v>
      </c>
      <c r="F496" t="s">
        <v>88</v>
      </c>
      <c r="G496" s="2">
        <v>2.1000000000000001E-2</v>
      </c>
      <c r="H496">
        <f t="shared" si="28"/>
        <v>8.26187</v>
      </c>
      <c r="I496" s="2">
        <v>41</v>
      </c>
      <c r="J496">
        <f t="shared" si="29"/>
        <v>338.73667</v>
      </c>
      <c r="K496">
        <f t="shared" si="30"/>
        <v>338.73667</v>
      </c>
    </row>
    <row r="497" spans="2:11" x14ac:dyDescent="0.25">
      <c r="B497" s="4">
        <v>45862</v>
      </c>
      <c r="C497" t="s">
        <v>71</v>
      </c>
      <c r="E497" t="s">
        <v>65</v>
      </c>
      <c r="F497" t="s">
        <v>88</v>
      </c>
      <c r="G497" s="2">
        <v>1E-3</v>
      </c>
      <c r="H497">
        <f t="shared" si="28"/>
        <v>0.55847000000000002</v>
      </c>
      <c r="I497" s="2">
        <v>41</v>
      </c>
      <c r="J497">
        <f t="shared" si="29"/>
        <v>22.897270000000002</v>
      </c>
      <c r="K497">
        <f t="shared" si="30"/>
        <v>22.897270000000002</v>
      </c>
    </row>
    <row r="498" spans="2:11" x14ac:dyDescent="0.25">
      <c r="B498" s="4">
        <v>45862</v>
      </c>
      <c r="C498" t="s">
        <v>71</v>
      </c>
      <c r="E498" t="s">
        <v>27</v>
      </c>
      <c r="F498" t="s">
        <v>88</v>
      </c>
      <c r="G498" s="2">
        <v>7.0000000000000001E-3</v>
      </c>
      <c r="H498">
        <f t="shared" si="28"/>
        <v>2.8694899999999999</v>
      </c>
      <c r="I498" s="2">
        <v>41</v>
      </c>
      <c r="J498">
        <f t="shared" si="29"/>
        <v>117.64909</v>
      </c>
      <c r="K498">
        <f t="shared" si="30"/>
        <v>117.64909</v>
      </c>
    </row>
    <row r="499" spans="2:11" x14ac:dyDescent="0.25">
      <c r="B499" s="4">
        <v>45862</v>
      </c>
      <c r="C499" t="s">
        <v>71</v>
      </c>
      <c r="E499" t="s">
        <v>28</v>
      </c>
      <c r="F499" t="s">
        <v>88</v>
      </c>
      <c r="G499" s="2">
        <v>8.9999999999999993E-3</v>
      </c>
      <c r="H499">
        <f t="shared" si="28"/>
        <v>3.6398299999999999</v>
      </c>
      <c r="I499" s="2">
        <v>41</v>
      </c>
      <c r="J499">
        <f t="shared" si="29"/>
        <v>149.23302999999999</v>
      </c>
      <c r="K499">
        <f t="shared" si="30"/>
        <v>149.23302999999999</v>
      </c>
    </row>
    <row r="500" spans="2:11" x14ac:dyDescent="0.25">
      <c r="B500" s="4">
        <v>45862</v>
      </c>
      <c r="C500" t="s">
        <v>71</v>
      </c>
      <c r="D500" t="s">
        <v>67</v>
      </c>
      <c r="E500">
        <v>1</v>
      </c>
      <c r="F500" t="s">
        <v>88</v>
      </c>
      <c r="G500" s="2">
        <v>3.4000000000000002E-2</v>
      </c>
      <c r="H500">
        <f t="shared" si="28"/>
        <v>13.269080000000001</v>
      </c>
      <c r="I500" s="2">
        <v>1</v>
      </c>
      <c r="J500">
        <f t="shared" si="29"/>
        <v>13.269080000000001</v>
      </c>
      <c r="K500">
        <f t="shared" si="30"/>
        <v>13.269080000000001</v>
      </c>
    </row>
    <row r="501" spans="2:11" x14ac:dyDescent="0.25">
      <c r="B501" s="4">
        <v>45862</v>
      </c>
      <c r="C501" t="s">
        <v>71</v>
      </c>
      <c r="D501" t="s">
        <v>67</v>
      </c>
      <c r="E501">
        <v>2</v>
      </c>
      <c r="F501" t="s">
        <v>88</v>
      </c>
      <c r="G501" s="2">
        <v>3.9E-2</v>
      </c>
      <c r="H501">
        <f t="shared" si="28"/>
        <v>15.194929999999999</v>
      </c>
      <c r="I501" s="2">
        <v>1</v>
      </c>
      <c r="J501">
        <f t="shared" si="29"/>
        <v>15.194929999999999</v>
      </c>
      <c r="K501">
        <f t="shared" si="30"/>
        <v>15.194929999999999</v>
      </c>
    </row>
    <row r="502" spans="2:11" x14ac:dyDescent="0.25">
      <c r="B502" s="4">
        <v>45862</v>
      </c>
      <c r="C502" t="s">
        <v>71</v>
      </c>
      <c r="D502" t="s">
        <v>67</v>
      </c>
      <c r="E502">
        <v>3</v>
      </c>
      <c r="F502" t="s">
        <v>88</v>
      </c>
      <c r="G502" s="2">
        <v>0.02</v>
      </c>
      <c r="H502">
        <f t="shared" si="28"/>
        <v>7.8767000000000005</v>
      </c>
      <c r="I502" s="2">
        <v>1</v>
      </c>
      <c r="J502">
        <f t="shared" si="29"/>
        <v>7.8767000000000005</v>
      </c>
      <c r="K502">
        <f t="shared" si="30"/>
        <v>7.8767000000000005</v>
      </c>
    </row>
    <row r="503" spans="2:11" x14ac:dyDescent="0.25">
      <c r="B503" s="4">
        <v>45862</v>
      </c>
      <c r="C503" t="s">
        <v>72</v>
      </c>
      <c r="E503" t="s">
        <v>13</v>
      </c>
      <c r="F503" t="s">
        <v>88</v>
      </c>
      <c r="G503" s="2">
        <v>2.5999999999999999E-2</v>
      </c>
      <c r="H503">
        <f t="shared" si="28"/>
        <v>10.187719999999999</v>
      </c>
      <c r="I503" s="2">
        <v>41</v>
      </c>
      <c r="J503">
        <f t="shared" si="29"/>
        <v>417.69651999999996</v>
      </c>
      <c r="K503">
        <f t="shared" si="30"/>
        <v>417.69651999999996</v>
      </c>
    </row>
    <row r="504" spans="2:11" x14ac:dyDescent="0.25">
      <c r="B504" s="4">
        <v>45862</v>
      </c>
      <c r="C504" t="s">
        <v>72</v>
      </c>
      <c r="E504" t="s">
        <v>14</v>
      </c>
      <c r="F504" t="s">
        <v>88</v>
      </c>
      <c r="G504" s="2">
        <v>1.7999999999999999E-2</v>
      </c>
      <c r="H504">
        <f t="shared" si="28"/>
        <v>7.1063599999999996</v>
      </c>
      <c r="I504" s="2">
        <v>41</v>
      </c>
      <c r="J504">
        <f t="shared" si="29"/>
        <v>291.36075999999997</v>
      </c>
      <c r="K504">
        <f t="shared" si="30"/>
        <v>291.36075999999997</v>
      </c>
    </row>
    <row r="505" spans="2:11" x14ac:dyDescent="0.25">
      <c r="B505" s="4">
        <v>45862</v>
      </c>
      <c r="C505" t="s">
        <v>72</v>
      </c>
      <c r="E505" t="s">
        <v>15</v>
      </c>
      <c r="F505" t="s">
        <v>88</v>
      </c>
      <c r="G505" s="2">
        <v>1.7000000000000001E-2</v>
      </c>
      <c r="H505">
        <f t="shared" si="28"/>
        <v>6.7211900000000009</v>
      </c>
      <c r="I505" s="2">
        <v>41</v>
      </c>
      <c r="J505">
        <f t="shared" si="29"/>
        <v>275.56879000000004</v>
      </c>
      <c r="K505">
        <f t="shared" si="30"/>
        <v>275.56879000000004</v>
      </c>
    </row>
    <row r="506" spans="2:11" x14ac:dyDescent="0.25">
      <c r="B506" s="4">
        <v>45862</v>
      </c>
      <c r="C506" t="s">
        <v>72</v>
      </c>
      <c r="E506" t="s">
        <v>61</v>
      </c>
      <c r="F506" t="s">
        <v>88</v>
      </c>
      <c r="G506" s="2">
        <v>6.8000000000000005E-2</v>
      </c>
      <c r="H506">
        <f t="shared" si="28"/>
        <v>26.364860000000004</v>
      </c>
      <c r="I506" s="2">
        <v>41</v>
      </c>
      <c r="J506">
        <f t="shared" si="29"/>
        <v>1080.9592600000001</v>
      </c>
      <c r="K506">
        <f t="shared" si="30"/>
        <v>1080.9592600000001</v>
      </c>
    </row>
    <row r="507" spans="2:11" x14ac:dyDescent="0.25">
      <c r="B507" s="4">
        <v>45862</v>
      </c>
      <c r="C507" t="s">
        <v>72</v>
      </c>
      <c r="E507" t="s">
        <v>16</v>
      </c>
      <c r="F507" t="s">
        <v>88</v>
      </c>
      <c r="G507" s="2">
        <v>1.9E-2</v>
      </c>
      <c r="H507">
        <f t="shared" si="28"/>
        <v>7.49153</v>
      </c>
      <c r="I507" s="2">
        <v>41</v>
      </c>
      <c r="J507">
        <f t="shared" si="29"/>
        <v>307.15273000000002</v>
      </c>
      <c r="K507">
        <f t="shared" si="30"/>
        <v>307.15273000000002</v>
      </c>
    </row>
    <row r="508" spans="2:11" x14ac:dyDescent="0.25">
      <c r="B508" s="4">
        <v>45862</v>
      </c>
      <c r="C508" t="s">
        <v>72</v>
      </c>
      <c r="E508" t="s">
        <v>17</v>
      </c>
      <c r="F508" t="s">
        <v>88</v>
      </c>
      <c r="G508" s="2">
        <v>2.3E-2</v>
      </c>
      <c r="H508">
        <f t="shared" si="28"/>
        <v>9.0322099999999992</v>
      </c>
      <c r="I508" s="2">
        <v>41</v>
      </c>
      <c r="J508">
        <f t="shared" si="29"/>
        <v>370.32060999999999</v>
      </c>
      <c r="K508">
        <f t="shared" si="30"/>
        <v>370.32060999999999</v>
      </c>
    </row>
    <row r="509" spans="2:11" x14ac:dyDescent="0.25">
      <c r="B509" s="4">
        <v>45862</v>
      </c>
      <c r="C509" t="s">
        <v>72</v>
      </c>
      <c r="E509" t="s">
        <v>12</v>
      </c>
      <c r="F509" t="s">
        <v>88</v>
      </c>
      <c r="G509" s="2">
        <v>0.01</v>
      </c>
      <c r="H509">
        <f t="shared" si="28"/>
        <v>4.0250000000000004</v>
      </c>
      <c r="I509" s="2">
        <v>41</v>
      </c>
      <c r="J509">
        <f t="shared" si="29"/>
        <v>165.02500000000001</v>
      </c>
      <c r="K509">
        <f t="shared" si="30"/>
        <v>165.02500000000001</v>
      </c>
    </row>
    <row r="510" spans="2:11" x14ac:dyDescent="0.25">
      <c r="B510" s="4">
        <v>45862</v>
      </c>
      <c r="C510" t="s">
        <v>72</v>
      </c>
      <c r="E510" t="s">
        <v>62</v>
      </c>
      <c r="F510" t="s">
        <v>88</v>
      </c>
      <c r="G510" s="2">
        <v>0.02</v>
      </c>
      <c r="H510">
        <f t="shared" si="28"/>
        <v>7.8767000000000005</v>
      </c>
      <c r="I510" s="2">
        <v>41</v>
      </c>
      <c r="J510">
        <f t="shared" si="29"/>
        <v>322.94470000000001</v>
      </c>
      <c r="K510">
        <f t="shared" si="30"/>
        <v>322.94470000000001</v>
      </c>
    </row>
    <row r="511" spans="2:11" x14ac:dyDescent="0.25">
      <c r="B511" s="4">
        <v>45862</v>
      </c>
      <c r="C511" t="s">
        <v>72</v>
      </c>
      <c r="E511" t="s">
        <v>18</v>
      </c>
      <c r="F511" t="s">
        <v>88</v>
      </c>
      <c r="G511" s="2">
        <v>1.9E-2</v>
      </c>
      <c r="H511">
        <f t="shared" si="28"/>
        <v>7.49153</v>
      </c>
      <c r="I511" s="2">
        <v>41</v>
      </c>
      <c r="J511">
        <f t="shared" si="29"/>
        <v>307.15273000000002</v>
      </c>
      <c r="K511">
        <f t="shared" si="30"/>
        <v>307.15273000000002</v>
      </c>
    </row>
    <row r="512" spans="2:11" x14ac:dyDescent="0.25">
      <c r="B512" s="4">
        <v>45862</v>
      </c>
      <c r="C512" t="s">
        <v>72</v>
      </c>
      <c r="E512" t="s">
        <v>19</v>
      </c>
      <c r="F512" t="s">
        <v>88</v>
      </c>
      <c r="G512" s="2">
        <v>1.6E-2</v>
      </c>
      <c r="H512">
        <f t="shared" si="28"/>
        <v>6.3360200000000004</v>
      </c>
      <c r="I512" s="2">
        <v>41</v>
      </c>
      <c r="J512">
        <f t="shared" si="29"/>
        <v>259.77682000000004</v>
      </c>
      <c r="K512">
        <f t="shared" si="30"/>
        <v>259.77682000000004</v>
      </c>
    </row>
    <row r="513" spans="2:11" x14ac:dyDescent="0.25">
      <c r="B513" s="4">
        <v>45862</v>
      </c>
      <c r="C513" t="s">
        <v>72</v>
      </c>
      <c r="E513" t="s">
        <v>20</v>
      </c>
      <c r="F513" t="s">
        <v>88</v>
      </c>
      <c r="G513" s="2">
        <v>4.3999999999999997E-2</v>
      </c>
      <c r="H513">
        <f t="shared" si="28"/>
        <v>17.12078</v>
      </c>
      <c r="I513" s="2">
        <v>41</v>
      </c>
      <c r="J513">
        <f t="shared" si="29"/>
        <v>701.95198000000005</v>
      </c>
      <c r="K513">
        <f t="shared" si="30"/>
        <v>701.95198000000005</v>
      </c>
    </row>
    <row r="514" spans="2:11" x14ac:dyDescent="0.25">
      <c r="B514" s="4">
        <v>45862</v>
      </c>
      <c r="C514" t="s">
        <v>72</v>
      </c>
      <c r="E514" t="s">
        <v>63</v>
      </c>
      <c r="F514" t="s">
        <v>88</v>
      </c>
      <c r="G514" s="2">
        <v>2.1999999999999999E-2</v>
      </c>
      <c r="H514">
        <f t="shared" si="28"/>
        <v>8.6470399999999987</v>
      </c>
      <c r="I514" s="2">
        <v>41</v>
      </c>
      <c r="J514">
        <f t="shared" si="29"/>
        <v>354.52863999999994</v>
      </c>
      <c r="K514">
        <f t="shared" si="30"/>
        <v>354.52863999999994</v>
      </c>
    </row>
    <row r="515" spans="2:11" x14ac:dyDescent="0.25">
      <c r="B515" s="4">
        <v>45862</v>
      </c>
      <c r="C515" t="s">
        <v>72</v>
      </c>
      <c r="E515" t="s">
        <v>21</v>
      </c>
      <c r="F515" t="s">
        <v>88</v>
      </c>
      <c r="G515" s="2">
        <v>0</v>
      </c>
      <c r="H515">
        <f t="shared" si="28"/>
        <v>0.17330000000000001</v>
      </c>
      <c r="I515" s="2">
        <v>41</v>
      </c>
      <c r="J515">
        <f t="shared" si="29"/>
        <v>7.1053000000000006</v>
      </c>
      <c r="K515">
        <f t="shared" si="30"/>
        <v>7.1053000000000006</v>
      </c>
    </row>
    <row r="516" spans="2:11" x14ac:dyDescent="0.25">
      <c r="B516" s="4">
        <v>45862</v>
      </c>
      <c r="C516" t="s">
        <v>72</v>
      </c>
      <c r="E516" t="s">
        <v>22</v>
      </c>
      <c r="F516" t="s">
        <v>88</v>
      </c>
      <c r="G516" s="2">
        <v>2.1999999999999999E-2</v>
      </c>
      <c r="H516">
        <f t="shared" si="28"/>
        <v>8.6470399999999987</v>
      </c>
      <c r="I516" s="2">
        <v>41</v>
      </c>
      <c r="J516">
        <f t="shared" si="29"/>
        <v>354.52863999999994</v>
      </c>
      <c r="K516">
        <f t="shared" si="30"/>
        <v>354.52863999999994</v>
      </c>
    </row>
    <row r="517" spans="2:11" x14ac:dyDescent="0.25">
      <c r="B517" s="4">
        <v>45862</v>
      </c>
      <c r="C517" t="s">
        <v>72</v>
      </c>
      <c r="E517" t="s">
        <v>23</v>
      </c>
      <c r="F517" t="s">
        <v>88</v>
      </c>
      <c r="G517" s="2">
        <v>2.4E-2</v>
      </c>
      <c r="H517">
        <f t="shared" si="28"/>
        <v>9.4173799999999996</v>
      </c>
      <c r="I517" s="2">
        <v>41</v>
      </c>
      <c r="J517">
        <f t="shared" si="29"/>
        <v>386.11257999999998</v>
      </c>
      <c r="K517">
        <f t="shared" si="30"/>
        <v>386.11257999999998</v>
      </c>
    </row>
    <row r="518" spans="2:11" x14ac:dyDescent="0.25">
      <c r="B518" s="4">
        <v>45862</v>
      </c>
      <c r="C518" t="s">
        <v>72</v>
      </c>
      <c r="E518" t="s">
        <v>64</v>
      </c>
      <c r="F518" t="s">
        <v>88</v>
      </c>
      <c r="G518" s="2">
        <v>3.1E-2</v>
      </c>
      <c r="H518">
        <f t="shared" si="28"/>
        <v>12.113569999999999</v>
      </c>
      <c r="I518" s="2">
        <v>41</v>
      </c>
      <c r="J518">
        <f t="shared" si="29"/>
        <v>496.65636999999998</v>
      </c>
      <c r="K518">
        <f t="shared" si="30"/>
        <v>496.65636999999998</v>
      </c>
    </row>
    <row r="519" spans="2:11" x14ac:dyDescent="0.25">
      <c r="B519" s="4">
        <v>45862</v>
      </c>
      <c r="C519" t="s">
        <v>72</v>
      </c>
      <c r="E519" t="s">
        <v>24</v>
      </c>
      <c r="F519" t="s">
        <v>88</v>
      </c>
      <c r="G519" s="2">
        <v>2.7E-2</v>
      </c>
      <c r="H519">
        <f t="shared" si="28"/>
        <v>10.572889999999999</v>
      </c>
      <c r="I519" s="2">
        <v>41</v>
      </c>
      <c r="J519">
        <f t="shared" si="29"/>
        <v>433.48848999999996</v>
      </c>
      <c r="K519">
        <f t="shared" si="30"/>
        <v>433.48848999999996</v>
      </c>
    </row>
    <row r="520" spans="2:11" x14ac:dyDescent="0.25">
      <c r="B520" s="4">
        <v>45862</v>
      </c>
      <c r="C520" t="s">
        <v>72</v>
      </c>
      <c r="E520" t="s">
        <v>25</v>
      </c>
      <c r="F520" t="s">
        <v>88</v>
      </c>
      <c r="H520">
        <f t="shared" si="28"/>
        <v>0.17330000000000001</v>
      </c>
      <c r="I520" s="2">
        <v>41</v>
      </c>
      <c r="J520">
        <f t="shared" si="29"/>
        <v>7.1053000000000006</v>
      </c>
      <c r="K520">
        <f t="shared" si="30"/>
        <v>7.1053000000000006</v>
      </c>
    </row>
    <row r="521" spans="2:11" x14ac:dyDescent="0.25">
      <c r="B521" s="4">
        <v>45862</v>
      </c>
      <c r="C521" t="s">
        <v>72</v>
      </c>
      <c r="E521" t="s">
        <v>26</v>
      </c>
      <c r="F521" t="s">
        <v>88</v>
      </c>
      <c r="H521">
        <f t="shared" si="28"/>
        <v>0.17330000000000001</v>
      </c>
      <c r="I521" s="2">
        <v>41</v>
      </c>
      <c r="J521">
        <f t="shared" si="29"/>
        <v>7.1053000000000006</v>
      </c>
      <c r="K521">
        <f t="shared" si="30"/>
        <v>7.1053000000000006</v>
      </c>
    </row>
    <row r="522" spans="2:11" x14ac:dyDescent="0.25">
      <c r="B522" s="4">
        <v>45862</v>
      </c>
      <c r="C522" t="s">
        <v>72</v>
      </c>
      <c r="E522" t="s">
        <v>65</v>
      </c>
      <c r="F522" t="s">
        <v>88</v>
      </c>
      <c r="H522">
        <f t="shared" si="28"/>
        <v>0.17330000000000001</v>
      </c>
      <c r="I522" s="2">
        <v>41</v>
      </c>
      <c r="J522">
        <f t="shared" si="29"/>
        <v>7.1053000000000006</v>
      </c>
      <c r="K522">
        <f t="shared" si="30"/>
        <v>7.1053000000000006</v>
      </c>
    </row>
    <row r="523" spans="2:11" x14ac:dyDescent="0.25">
      <c r="B523" s="4">
        <v>45862</v>
      </c>
      <c r="C523" t="s">
        <v>72</v>
      </c>
      <c r="E523" t="s">
        <v>27</v>
      </c>
      <c r="F523" t="s">
        <v>88</v>
      </c>
      <c r="H523">
        <f t="shared" si="28"/>
        <v>0.17330000000000001</v>
      </c>
      <c r="I523" s="2">
        <v>41</v>
      </c>
      <c r="J523">
        <f t="shared" si="29"/>
        <v>7.1053000000000006</v>
      </c>
      <c r="K523">
        <f t="shared" si="30"/>
        <v>7.1053000000000006</v>
      </c>
    </row>
    <row r="524" spans="2:11" x14ac:dyDescent="0.25">
      <c r="B524" s="4">
        <v>45862</v>
      </c>
      <c r="C524" t="s">
        <v>72</v>
      </c>
      <c r="E524" t="s">
        <v>28</v>
      </c>
      <c r="F524" t="s">
        <v>88</v>
      </c>
      <c r="H524">
        <f t="shared" si="28"/>
        <v>0.17330000000000001</v>
      </c>
      <c r="I524" s="2">
        <v>41</v>
      </c>
      <c r="J524">
        <f t="shared" si="29"/>
        <v>7.1053000000000006</v>
      </c>
      <c r="K524">
        <f t="shared" si="30"/>
        <v>7.1053000000000006</v>
      </c>
    </row>
    <row r="525" spans="2:11" x14ac:dyDescent="0.25">
      <c r="B525" s="4">
        <v>45862</v>
      </c>
      <c r="C525" t="s">
        <v>72</v>
      </c>
      <c r="E525" t="s">
        <v>29</v>
      </c>
      <c r="F525" t="s">
        <v>88</v>
      </c>
      <c r="G525">
        <v>2.1999999999999999E-2</v>
      </c>
      <c r="H525">
        <f t="shared" si="28"/>
        <v>8.6470399999999987</v>
      </c>
      <c r="I525" s="2">
        <v>41</v>
      </c>
      <c r="J525">
        <f t="shared" si="29"/>
        <v>354.52863999999994</v>
      </c>
      <c r="K525">
        <f t="shared" si="30"/>
        <v>354.52863999999994</v>
      </c>
    </row>
    <row r="526" spans="2:11" x14ac:dyDescent="0.25">
      <c r="B526" s="4">
        <v>45862</v>
      </c>
      <c r="C526" t="s">
        <v>72</v>
      </c>
      <c r="E526" t="s">
        <v>66</v>
      </c>
      <c r="F526" t="s">
        <v>88</v>
      </c>
      <c r="G526">
        <v>3.1E-2</v>
      </c>
      <c r="H526">
        <f t="shared" si="28"/>
        <v>12.113569999999999</v>
      </c>
      <c r="I526" s="2">
        <v>41</v>
      </c>
      <c r="J526">
        <f t="shared" si="29"/>
        <v>496.65636999999998</v>
      </c>
      <c r="K526">
        <f t="shared" si="30"/>
        <v>496.65636999999998</v>
      </c>
    </row>
    <row r="527" spans="2:11" x14ac:dyDescent="0.25">
      <c r="B527" s="4">
        <v>45862</v>
      </c>
      <c r="C527" t="s">
        <v>72</v>
      </c>
      <c r="D527" t="s">
        <v>67</v>
      </c>
      <c r="E527">
        <v>1</v>
      </c>
      <c r="F527" t="s">
        <v>88</v>
      </c>
      <c r="G527">
        <v>3.4000000000000002E-2</v>
      </c>
      <c r="H527">
        <f t="shared" si="28"/>
        <v>13.269080000000001</v>
      </c>
      <c r="I527" s="2">
        <v>1</v>
      </c>
      <c r="J527">
        <f t="shared" si="29"/>
        <v>13.269080000000001</v>
      </c>
      <c r="K527">
        <f t="shared" si="30"/>
        <v>13.269080000000001</v>
      </c>
    </row>
    <row r="528" spans="2:11" x14ac:dyDescent="0.25">
      <c r="B528" s="4">
        <v>45862</v>
      </c>
      <c r="C528" t="s">
        <v>72</v>
      </c>
      <c r="D528" t="s">
        <v>67</v>
      </c>
      <c r="E528">
        <v>2</v>
      </c>
      <c r="F528" t="s">
        <v>88</v>
      </c>
      <c r="G528">
        <v>2.5000000000000001E-2</v>
      </c>
      <c r="H528">
        <f t="shared" si="28"/>
        <v>9.8025500000000001</v>
      </c>
      <c r="I528" s="2">
        <v>1</v>
      </c>
      <c r="J528">
        <f t="shared" si="29"/>
        <v>9.8025500000000001</v>
      </c>
      <c r="K528">
        <f t="shared" si="30"/>
        <v>9.8025500000000001</v>
      </c>
    </row>
    <row r="529" spans="2:11" x14ac:dyDescent="0.25">
      <c r="B529" s="4">
        <v>45862</v>
      </c>
      <c r="C529" t="s">
        <v>72</v>
      </c>
      <c r="D529" t="s">
        <v>67</v>
      </c>
      <c r="E529">
        <v>3</v>
      </c>
      <c r="F529" t="s">
        <v>88</v>
      </c>
      <c r="G529">
        <v>3.4000000000000002E-2</v>
      </c>
      <c r="H529">
        <f t="shared" si="28"/>
        <v>13.269080000000001</v>
      </c>
      <c r="I529" s="2">
        <v>1</v>
      </c>
      <c r="J529">
        <f t="shared" si="29"/>
        <v>13.269080000000001</v>
      </c>
      <c r="K529">
        <f t="shared" si="30"/>
        <v>13.269080000000001</v>
      </c>
    </row>
    <row r="530" spans="2:11" x14ac:dyDescent="0.25">
      <c r="B530" s="1">
        <v>45873</v>
      </c>
      <c r="C530" s="2" t="s">
        <v>324</v>
      </c>
      <c r="E530">
        <v>1</v>
      </c>
      <c r="F530" t="s">
        <v>88</v>
      </c>
      <c r="G530">
        <v>1.2E-2</v>
      </c>
      <c r="H530">
        <f t="shared" si="28"/>
        <v>4.7953400000000004</v>
      </c>
      <c r="I530" s="2">
        <v>41</v>
      </c>
      <c r="J530">
        <f t="shared" si="29"/>
        <v>196.60894000000002</v>
      </c>
      <c r="K530">
        <f t="shared" si="30"/>
        <v>196.60894000000002</v>
      </c>
    </row>
    <row r="531" spans="2:11" x14ac:dyDescent="0.25">
      <c r="B531" s="1">
        <v>45873</v>
      </c>
      <c r="C531" s="2" t="s">
        <v>324</v>
      </c>
      <c r="E531">
        <v>2</v>
      </c>
      <c r="F531" t="s">
        <v>88</v>
      </c>
      <c r="G531">
        <v>2.5000000000000001E-2</v>
      </c>
      <c r="H531">
        <f t="shared" si="28"/>
        <v>9.8025500000000001</v>
      </c>
      <c r="I531" s="2">
        <v>41</v>
      </c>
      <c r="J531">
        <f t="shared" si="29"/>
        <v>401.90455000000003</v>
      </c>
      <c r="K531">
        <f t="shared" si="30"/>
        <v>401.90455000000003</v>
      </c>
    </row>
    <row r="532" spans="2:11" x14ac:dyDescent="0.25">
      <c r="B532" s="1">
        <v>45873</v>
      </c>
      <c r="C532" s="2" t="s">
        <v>324</v>
      </c>
      <c r="E532">
        <v>3</v>
      </c>
      <c r="F532" t="s">
        <v>88</v>
      </c>
      <c r="G532">
        <v>1.6E-2</v>
      </c>
      <c r="H532">
        <f t="shared" si="28"/>
        <v>6.3360200000000004</v>
      </c>
      <c r="I532" s="2">
        <v>41</v>
      </c>
      <c r="J532">
        <f t="shared" si="29"/>
        <v>259.77682000000004</v>
      </c>
      <c r="K532">
        <f t="shared" si="30"/>
        <v>259.77682000000004</v>
      </c>
    </row>
    <row r="533" spans="2:11" x14ac:dyDescent="0.25">
      <c r="B533" s="1">
        <v>45873</v>
      </c>
      <c r="C533" s="2" t="s">
        <v>324</v>
      </c>
      <c r="D533" t="s">
        <v>67</v>
      </c>
      <c r="E533">
        <v>1</v>
      </c>
      <c r="F533" t="s">
        <v>88</v>
      </c>
      <c r="G533">
        <v>4.1000000000000002E-2</v>
      </c>
      <c r="H533">
        <f t="shared" si="28"/>
        <v>15.96527</v>
      </c>
      <c r="I533" s="2">
        <v>1</v>
      </c>
      <c r="J533">
        <f t="shared" si="29"/>
        <v>15.96527</v>
      </c>
      <c r="K533">
        <f t="shared" si="30"/>
        <v>15.96527</v>
      </c>
    </row>
    <row r="534" spans="2:11" x14ac:dyDescent="0.25">
      <c r="B534" s="1">
        <v>45873</v>
      </c>
      <c r="C534" s="2" t="s">
        <v>324</v>
      </c>
      <c r="D534" t="s">
        <v>67</v>
      </c>
      <c r="E534">
        <v>2</v>
      </c>
      <c r="F534" t="s">
        <v>88</v>
      </c>
      <c r="G534">
        <v>1.2E-2</v>
      </c>
      <c r="H534">
        <f t="shared" si="28"/>
        <v>4.7953400000000004</v>
      </c>
      <c r="I534" s="2">
        <v>1</v>
      </c>
      <c r="J534">
        <f t="shared" si="29"/>
        <v>4.7953400000000004</v>
      </c>
      <c r="K534">
        <f t="shared" si="30"/>
        <v>4.7953400000000004</v>
      </c>
    </row>
    <row r="535" spans="2:11" x14ac:dyDescent="0.25">
      <c r="B535" s="1">
        <v>45873</v>
      </c>
      <c r="C535" s="2" t="s">
        <v>324</v>
      </c>
      <c r="D535" t="s">
        <v>67</v>
      </c>
      <c r="E535">
        <v>3</v>
      </c>
      <c r="F535" t="s">
        <v>88</v>
      </c>
      <c r="H535">
        <f t="shared" si="28"/>
        <v>0.17330000000000001</v>
      </c>
      <c r="I535" s="2">
        <v>1</v>
      </c>
      <c r="J535">
        <f t="shared" si="29"/>
        <v>0.17330000000000001</v>
      </c>
      <c r="K535">
        <f t="shared" si="30"/>
        <v>0.17330000000000001</v>
      </c>
    </row>
    <row r="536" spans="2:11" x14ac:dyDescent="0.25">
      <c r="B536" s="1">
        <v>45873</v>
      </c>
      <c r="C536" s="2" t="s">
        <v>325</v>
      </c>
      <c r="D536" t="s">
        <v>67</v>
      </c>
      <c r="E536">
        <v>1</v>
      </c>
      <c r="F536" t="s">
        <v>88</v>
      </c>
      <c r="G536">
        <v>4.2999999999999997E-2</v>
      </c>
      <c r="H536">
        <f t="shared" si="28"/>
        <v>16.735610000000001</v>
      </c>
      <c r="I536" s="2">
        <v>1</v>
      </c>
      <c r="J536">
        <f t="shared" si="29"/>
        <v>16.735610000000001</v>
      </c>
      <c r="K536">
        <f t="shared" si="30"/>
        <v>16.735610000000001</v>
      </c>
    </row>
    <row r="537" spans="2:11" x14ac:dyDescent="0.25">
      <c r="B537" s="1">
        <v>45873</v>
      </c>
      <c r="C537" s="2" t="s">
        <v>325</v>
      </c>
      <c r="D537" t="s">
        <v>67</v>
      </c>
      <c r="E537">
        <v>2</v>
      </c>
      <c r="F537" t="s">
        <v>88</v>
      </c>
      <c r="G537">
        <v>6.7000000000000004E-2</v>
      </c>
      <c r="H537">
        <f t="shared" si="28"/>
        <v>25.979690000000005</v>
      </c>
      <c r="I537" s="2">
        <v>1</v>
      </c>
      <c r="J537">
        <f t="shared" si="29"/>
        <v>25.979690000000005</v>
      </c>
      <c r="K537">
        <f t="shared" si="30"/>
        <v>25.979690000000005</v>
      </c>
    </row>
    <row r="538" spans="2:11" x14ac:dyDescent="0.25">
      <c r="B538" s="1">
        <v>45873</v>
      </c>
      <c r="C538" s="2" t="s">
        <v>325</v>
      </c>
      <c r="D538" t="s">
        <v>67</v>
      </c>
      <c r="E538">
        <v>3</v>
      </c>
      <c r="F538" t="s">
        <v>88</v>
      </c>
      <c r="G538">
        <v>6.4000000000000001E-2</v>
      </c>
      <c r="H538">
        <f t="shared" si="28"/>
        <v>24.824180000000002</v>
      </c>
      <c r="I538" s="2">
        <v>1</v>
      </c>
      <c r="J538">
        <f t="shared" si="29"/>
        <v>24.824180000000002</v>
      </c>
      <c r="K538">
        <f t="shared" si="30"/>
        <v>24.824180000000002</v>
      </c>
    </row>
    <row r="539" spans="2:11" x14ac:dyDescent="0.25">
      <c r="B539" s="1">
        <v>45876</v>
      </c>
      <c r="C539" t="s">
        <v>70</v>
      </c>
      <c r="E539" t="s">
        <v>13</v>
      </c>
      <c r="F539" t="s">
        <v>88</v>
      </c>
      <c r="G539">
        <v>6.0000000000000001E-3</v>
      </c>
      <c r="H539">
        <f t="shared" si="28"/>
        <v>2.4843200000000003</v>
      </c>
      <c r="I539" s="2">
        <v>41</v>
      </c>
      <c r="J539">
        <f t="shared" si="29"/>
        <v>101.85712000000001</v>
      </c>
      <c r="K539">
        <f t="shared" si="30"/>
        <v>101.85712000000001</v>
      </c>
    </row>
    <row r="540" spans="2:11" x14ac:dyDescent="0.25">
      <c r="B540" s="1">
        <v>45876</v>
      </c>
      <c r="C540" t="s">
        <v>70</v>
      </c>
      <c r="E540" t="s">
        <v>14</v>
      </c>
      <c r="F540" t="s">
        <v>88</v>
      </c>
      <c r="G540">
        <v>3.7999999999999999E-2</v>
      </c>
      <c r="H540">
        <f t="shared" ref="H540:H603" si="31">(385.17*G540)+0.1733</f>
        <v>14.809759999999999</v>
      </c>
      <c r="I540" s="2">
        <v>41</v>
      </c>
      <c r="J540">
        <f t="shared" ref="J540:J603" si="32">H540*I540</f>
        <v>607.20015999999998</v>
      </c>
      <c r="K540">
        <f t="shared" ref="K540:K603" si="33">MAX(J540,0)</f>
        <v>607.20015999999998</v>
      </c>
    </row>
    <row r="541" spans="2:11" x14ac:dyDescent="0.25">
      <c r="B541" s="1">
        <v>45876</v>
      </c>
      <c r="C541" t="s">
        <v>70</v>
      </c>
      <c r="E541" t="s">
        <v>15</v>
      </c>
      <c r="F541" t="s">
        <v>88</v>
      </c>
      <c r="G541">
        <v>1.2999999999999999E-2</v>
      </c>
      <c r="H541">
        <f t="shared" si="31"/>
        <v>5.1805099999999999</v>
      </c>
      <c r="I541" s="2">
        <v>41</v>
      </c>
      <c r="J541">
        <f t="shared" si="32"/>
        <v>212.40091000000001</v>
      </c>
      <c r="K541">
        <f t="shared" si="33"/>
        <v>212.40091000000001</v>
      </c>
    </row>
    <row r="542" spans="2:11" x14ac:dyDescent="0.25">
      <c r="B542" s="1">
        <v>45876</v>
      </c>
      <c r="C542" t="s">
        <v>70</v>
      </c>
      <c r="E542" t="s">
        <v>61</v>
      </c>
      <c r="F542" t="s">
        <v>88</v>
      </c>
      <c r="G542">
        <v>3.7999999999999999E-2</v>
      </c>
      <c r="H542">
        <f t="shared" si="31"/>
        <v>14.809759999999999</v>
      </c>
      <c r="I542" s="2">
        <v>41</v>
      </c>
      <c r="J542">
        <f t="shared" si="32"/>
        <v>607.20015999999998</v>
      </c>
      <c r="K542">
        <f t="shared" si="33"/>
        <v>607.20015999999998</v>
      </c>
    </row>
    <row r="543" spans="2:11" x14ac:dyDescent="0.25">
      <c r="B543" s="1">
        <v>45876</v>
      </c>
      <c r="C543" t="s">
        <v>70</v>
      </c>
      <c r="E543" t="s">
        <v>16</v>
      </c>
      <c r="F543" t="s">
        <v>88</v>
      </c>
      <c r="G543">
        <v>2.9000000000000001E-2</v>
      </c>
      <c r="H543">
        <f t="shared" si="31"/>
        <v>11.34323</v>
      </c>
      <c r="I543" s="2">
        <v>41</v>
      </c>
      <c r="J543">
        <f t="shared" si="32"/>
        <v>465.07243</v>
      </c>
      <c r="K543">
        <f t="shared" si="33"/>
        <v>465.07243</v>
      </c>
    </row>
    <row r="544" spans="2:11" x14ac:dyDescent="0.25">
      <c r="B544" s="1">
        <v>45876</v>
      </c>
      <c r="C544" t="s">
        <v>70</v>
      </c>
      <c r="E544" t="s">
        <v>17</v>
      </c>
      <c r="F544" t="s">
        <v>88</v>
      </c>
      <c r="G544">
        <v>8.0000000000000002E-3</v>
      </c>
      <c r="H544">
        <f t="shared" si="31"/>
        <v>3.2546600000000003</v>
      </c>
      <c r="I544" s="2">
        <v>41</v>
      </c>
      <c r="J544">
        <f t="shared" si="32"/>
        <v>133.44106000000002</v>
      </c>
      <c r="K544">
        <f t="shared" si="33"/>
        <v>133.44106000000002</v>
      </c>
    </row>
    <row r="545" spans="2:11" x14ac:dyDescent="0.25">
      <c r="B545" s="1">
        <v>45876</v>
      </c>
      <c r="C545" t="s">
        <v>70</v>
      </c>
      <c r="E545" t="s">
        <v>12</v>
      </c>
      <c r="F545" t="s">
        <v>88</v>
      </c>
      <c r="G545">
        <v>1.4999999999999999E-2</v>
      </c>
      <c r="H545">
        <f t="shared" si="31"/>
        <v>5.95085</v>
      </c>
      <c r="I545" s="2">
        <v>41</v>
      </c>
      <c r="J545">
        <f t="shared" si="32"/>
        <v>243.98484999999999</v>
      </c>
      <c r="K545">
        <f t="shared" si="33"/>
        <v>243.98484999999999</v>
      </c>
    </row>
    <row r="546" spans="2:11" x14ac:dyDescent="0.25">
      <c r="B546" s="1">
        <v>45876</v>
      </c>
      <c r="C546" t="s">
        <v>70</v>
      </c>
      <c r="E546" t="s">
        <v>62</v>
      </c>
      <c r="F546" t="s">
        <v>88</v>
      </c>
      <c r="G546">
        <v>3.2000000000000001E-2</v>
      </c>
      <c r="H546">
        <f t="shared" si="31"/>
        <v>12.49874</v>
      </c>
      <c r="I546" s="2">
        <v>41</v>
      </c>
      <c r="J546">
        <f t="shared" si="32"/>
        <v>512.44834000000003</v>
      </c>
      <c r="K546">
        <f t="shared" si="33"/>
        <v>512.44834000000003</v>
      </c>
    </row>
    <row r="547" spans="2:11" x14ac:dyDescent="0.25">
      <c r="B547" s="1">
        <v>45876</v>
      </c>
      <c r="C547" t="s">
        <v>70</v>
      </c>
      <c r="E547" t="s">
        <v>18</v>
      </c>
      <c r="F547" t="s">
        <v>88</v>
      </c>
      <c r="G547">
        <v>1.2E-2</v>
      </c>
      <c r="H547">
        <f t="shared" si="31"/>
        <v>4.7953400000000004</v>
      </c>
      <c r="I547" s="2">
        <v>41</v>
      </c>
      <c r="J547">
        <f t="shared" si="32"/>
        <v>196.60894000000002</v>
      </c>
      <c r="K547">
        <f t="shared" si="33"/>
        <v>196.60894000000002</v>
      </c>
    </row>
    <row r="548" spans="2:11" x14ac:dyDescent="0.25">
      <c r="B548" s="1">
        <v>45876</v>
      </c>
      <c r="C548" t="s">
        <v>70</v>
      </c>
      <c r="E548" t="s">
        <v>19</v>
      </c>
      <c r="F548" t="s">
        <v>88</v>
      </c>
      <c r="G548">
        <v>0</v>
      </c>
      <c r="H548">
        <f t="shared" si="31"/>
        <v>0.17330000000000001</v>
      </c>
      <c r="I548" s="2">
        <v>41</v>
      </c>
      <c r="J548">
        <f t="shared" si="32"/>
        <v>7.1053000000000006</v>
      </c>
      <c r="K548">
        <f t="shared" si="33"/>
        <v>7.1053000000000006</v>
      </c>
    </row>
    <row r="549" spans="2:11" x14ac:dyDescent="0.25">
      <c r="B549" s="1">
        <v>45876</v>
      </c>
      <c r="C549" t="s">
        <v>70</v>
      </c>
      <c r="E549" t="s">
        <v>20</v>
      </c>
      <c r="F549" t="s">
        <v>88</v>
      </c>
      <c r="G549">
        <v>0</v>
      </c>
      <c r="H549">
        <f t="shared" si="31"/>
        <v>0.17330000000000001</v>
      </c>
      <c r="I549" s="2">
        <v>41</v>
      </c>
      <c r="J549">
        <f t="shared" si="32"/>
        <v>7.1053000000000006</v>
      </c>
      <c r="K549">
        <f t="shared" si="33"/>
        <v>7.1053000000000006</v>
      </c>
    </row>
    <row r="550" spans="2:11" x14ac:dyDescent="0.25">
      <c r="B550" s="1">
        <v>45876</v>
      </c>
      <c r="C550" t="s">
        <v>70</v>
      </c>
      <c r="E550" t="s">
        <v>63</v>
      </c>
      <c r="F550" t="s">
        <v>88</v>
      </c>
      <c r="G550">
        <v>2.1999999999999999E-2</v>
      </c>
      <c r="H550">
        <f t="shared" si="31"/>
        <v>8.6470399999999987</v>
      </c>
      <c r="I550" s="2">
        <v>41</v>
      </c>
      <c r="J550">
        <f t="shared" si="32"/>
        <v>354.52863999999994</v>
      </c>
      <c r="K550">
        <f t="shared" si="33"/>
        <v>354.52863999999994</v>
      </c>
    </row>
    <row r="551" spans="2:11" x14ac:dyDescent="0.25">
      <c r="B551" s="1">
        <v>45876</v>
      </c>
      <c r="C551" t="s">
        <v>70</v>
      </c>
      <c r="E551" t="s">
        <v>21</v>
      </c>
      <c r="F551" t="s">
        <v>88</v>
      </c>
      <c r="G551">
        <v>2.8000000000000001E-2</v>
      </c>
      <c r="H551">
        <f t="shared" si="31"/>
        <v>10.95806</v>
      </c>
      <c r="I551" s="2">
        <v>41</v>
      </c>
      <c r="J551">
        <f t="shared" si="32"/>
        <v>449.28046000000001</v>
      </c>
      <c r="K551">
        <f t="shared" si="33"/>
        <v>449.28046000000001</v>
      </c>
    </row>
    <row r="552" spans="2:11" x14ac:dyDescent="0.25">
      <c r="B552" s="1">
        <v>45876</v>
      </c>
      <c r="C552" t="s">
        <v>70</v>
      </c>
      <c r="E552" t="s">
        <v>22</v>
      </c>
      <c r="F552" t="s">
        <v>88</v>
      </c>
      <c r="G552">
        <v>1.6E-2</v>
      </c>
      <c r="H552">
        <f t="shared" si="31"/>
        <v>6.3360200000000004</v>
      </c>
      <c r="I552" s="2">
        <v>41</v>
      </c>
      <c r="J552">
        <f t="shared" si="32"/>
        <v>259.77682000000004</v>
      </c>
      <c r="K552">
        <f t="shared" si="33"/>
        <v>259.77682000000004</v>
      </c>
    </row>
    <row r="553" spans="2:11" x14ac:dyDescent="0.25">
      <c r="B553" s="1">
        <v>45876</v>
      </c>
      <c r="C553" t="s">
        <v>70</v>
      </c>
      <c r="E553" t="s">
        <v>23</v>
      </c>
      <c r="F553" t="s">
        <v>88</v>
      </c>
      <c r="G553">
        <v>2.1000000000000001E-2</v>
      </c>
      <c r="H553">
        <f t="shared" si="31"/>
        <v>8.26187</v>
      </c>
      <c r="I553" s="2">
        <v>41</v>
      </c>
      <c r="J553">
        <f t="shared" si="32"/>
        <v>338.73667</v>
      </c>
      <c r="K553">
        <f t="shared" si="33"/>
        <v>338.73667</v>
      </c>
    </row>
    <row r="554" spans="2:11" x14ac:dyDescent="0.25">
      <c r="B554" s="1">
        <v>45876</v>
      </c>
      <c r="C554" t="s">
        <v>70</v>
      </c>
      <c r="E554" t="s">
        <v>64</v>
      </c>
      <c r="F554" t="s">
        <v>88</v>
      </c>
      <c r="G554">
        <v>0.02</v>
      </c>
      <c r="H554">
        <f t="shared" si="31"/>
        <v>7.8767000000000005</v>
      </c>
      <c r="I554" s="2">
        <v>41</v>
      </c>
      <c r="J554">
        <f t="shared" si="32"/>
        <v>322.94470000000001</v>
      </c>
      <c r="K554">
        <f t="shared" si="33"/>
        <v>322.94470000000001</v>
      </c>
    </row>
    <row r="555" spans="2:11" x14ac:dyDescent="0.25">
      <c r="B555" s="1">
        <v>45876</v>
      </c>
      <c r="C555" t="s">
        <v>70</v>
      </c>
      <c r="D555" t="s">
        <v>67</v>
      </c>
      <c r="E555">
        <v>1</v>
      </c>
      <c r="F555" t="s">
        <v>88</v>
      </c>
      <c r="G555">
        <v>3.4000000000000002E-2</v>
      </c>
      <c r="H555">
        <f t="shared" si="31"/>
        <v>13.269080000000001</v>
      </c>
      <c r="I555" s="2">
        <v>1</v>
      </c>
      <c r="J555">
        <f t="shared" si="32"/>
        <v>13.269080000000001</v>
      </c>
      <c r="K555">
        <f t="shared" si="33"/>
        <v>13.269080000000001</v>
      </c>
    </row>
    <row r="556" spans="2:11" x14ac:dyDescent="0.25">
      <c r="B556" s="1">
        <v>45876</v>
      </c>
      <c r="C556" t="s">
        <v>70</v>
      </c>
      <c r="D556" t="s">
        <v>67</v>
      </c>
      <c r="E556">
        <v>2</v>
      </c>
      <c r="F556" t="s">
        <v>88</v>
      </c>
      <c r="G556">
        <v>3.5999999999999997E-2</v>
      </c>
      <c r="H556">
        <f t="shared" si="31"/>
        <v>14.039419999999998</v>
      </c>
      <c r="I556" s="2">
        <v>1</v>
      </c>
      <c r="J556">
        <f t="shared" si="32"/>
        <v>14.039419999999998</v>
      </c>
      <c r="K556">
        <f t="shared" si="33"/>
        <v>14.039419999999998</v>
      </c>
    </row>
    <row r="557" spans="2:11" x14ac:dyDescent="0.25">
      <c r="B557" s="1">
        <v>45876</v>
      </c>
      <c r="C557" t="s">
        <v>70</v>
      </c>
      <c r="D557" t="s">
        <v>67</v>
      </c>
      <c r="E557">
        <v>3</v>
      </c>
      <c r="F557" t="s">
        <v>88</v>
      </c>
      <c r="G557">
        <v>1.7000000000000001E-2</v>
      </c>
      <c r="H557">
        <f t="shared" si="31"/>
        <v>6.7211900000000009</v>
      </c>
      <c r="I557" s="2">
        <v>1</v>
      </c>
      <c r="J557">
        <f t="shared" si="32"/>
        <v>6.7211900000000009</v>
      </c>
      <c r="K557">
        <f t="shared" si="33"/>
        <v>6.7211900000000009</v>
      </c>
    </row>
    <row r="558" spans="2:11" x14ac:dyDescent="0.25">
      <c r="B558" s="1">
        <v>45876</v>
      </c>
      <c r="C558" t="s">
        <v>71</v>
      </c>
      <c r="E558" t="s">
        <v>13</v>
      </c>
      <c r="F558" t="s">
        <v>88</v>
      </c>
      <c r="G558">
        <v>6.5000000000000002E-2</v>
      </c>
      <c r="H558">
        <f t="shared" si="31"/>
        <v>25.209350000000004</v>
      </c>
      <c r="I558" s="2">
        <v>41</v>
      </c>
      <c r="J558">
        <f t="shared" si="32"/>
        <v>1033.5833500000001</v>
      </c>
      <c r="K558">
        <f t="shared" si="33"/>
        <v>1033.5833500000001</v>
      </c>
    </row>
    <row r="559" spans="2:11" x14ac:dyDescent="0.25">
      <c r="B559" s="1">
        <v>45876</v>
      </c>
      <c r="C559" t="s">
        <v>71</v>
      </c>
      <c r="E559" t="s">
        <v>14</v>
      </c>
      <c r="F559" t="s">
        <v>88</v>
      </c>
      <c r="G559">
        <v>8.0000000000000002E-3</v>
      </c>
      <c r="H559">
        <f t="shared" si="31"/>
        <v>3.2546600000000003</v>
      </c>
      <c r="I559" s="2">
        <v>41</v>
      </c>
      <c r="J559">
        <f t="shared" si="32"/>
        <v>133.44106000000002</v>
      </c>
      <c r="K559">
        <f t="shared" si="33"/>
        <v>133.44106000000002</v>
      </c>
    </row>
    <row r="560" spans="2:11" x14ac:dyDescent="0.25">
      <c r="B560" s="1">
        <v>45876</v>
      </c>
      <c r="C560" t="s">
        <v>71</v>
      </c>
      <c r="E560" t="s">
        <v>15</v>
      </c>
      <c r="F560" t="s">
        <v>88</v>
      </c>
      <c r="G560">
        <v>0</v>
      </c>
      <c r="H560">
        <f t="shared" si="31"/>
        <v>0.17330000000000001</v>
      </c>
      <c r="I560" s="2">
        <v>41</v>
      </c>
      <c r="J560">
        <f t="shared" si="32"/>
        <v>7.1053000000000006</v>
      </c>
      <c r="K560">
        <f t="shared" si="33"/>
        <v>7.1053000000000006</v>
      </c>
    </row>
    <row r="561" spans="2:11" x14ac:dyDescent="0.25">
      <c r="B561" s="1">
        <v>45876</v>
      </c>
      <c r="C561" t="s">
        <v>71</v>
      </c>
      <c r="E561" t="s">
        <v>61</v>
      </c>
      <c r="F561" t="s">
        <v>88</v>
      </c>
      <c r="G561">
        <v>0</v>
      </c>
      <c r="H561">
        <f t="shared" si="31"/>
        <v>0.17330000000000001</v>
      </c>
      <c r="I561" s="2">
        <v>41</v>
      </c>
      <c r="J561">
        <f t="shared" si="32"/>
        <v>7.1053000000000006</v>
      </c>
      <c r="K561">
        <f t="shared" si="33"/>
        <v>7.1053000000000006</v>
      </c>
    </row>
    <row r="562" spans="2:11" x14ac:dyDescent="0.25">
      <c r="B562" s="1">
        <v>45876</v>
      </c>
      <c r="C562" t="s">
        <v>71</v>
      </c>
      <c r="E562" t="s">
        <v>16</v>
      </c>
      <c r="F562" t="s">
        <v>88</v>
      </c>
      <c r="G562">
        <v>2.7E-2</v>
      </c>
      <c r="H562">
        <f t="shared" si="31"/>
        <v>10.572889999999999</v>
      </c>
      <c r="I562" s="2">
        <v>41</v>
      </c>
      <c r="J562">
        <f t="shared" si="32"/>
        <v>433.48848999999996</v>
      </c>
      <c r="K562">
        <f t="shared" si="33"/>
        <v>433.48848999999996</v>
      </c>
    </row>
    <row r="563" spans="2:11" x14ac:dyDescent="0.25">
      <c r="B563" s="1">
        <v>45876</v>
      </c>
      <c r="C563" t="s">
        <v>71</v>
      </c>
      <c r="E563" t="s">
        <v>17</v>
      </c>
      <c r="F563" t="s">
        <v>88</v>
      </c>
      <c r="G563">
        <v>1.4999999999999999E-2</v>
      </c>
      <c r="H563">
        <f t="shared" si="31"/>
        <v>5.95085</v>
      </c>
      <c r="I563" s="2">
        <v>41</v>
      </c>
      <c r="J563">
        <f t="shared" si="32"/>
        <v>243.98484999999999</v>
      </c>
      <c r="K563">
        <f t="shared" si="33"/>
        <v>243.98484999999999</v>
      </c>
    </row>
    <row r="564" spans="2:11" x14ac:dyDescent="0.25">
      <c r="B564" s="1">
        <v>45876</v>
      </c>
      <c r="C564" t="s">
        <v>71</v>
      </c>
      <c r="E564" t="s">
        <v>12</v>
      </c>
      <c r="F564" t="s">
        <v>88</v>
      </c>
      <c r="G564">
        <v>3.7999999999999999E-2</v>
      </c>
      <c r="H564">
        <f t="shared" si="31"/>
        <v>14.809759999999999</v>
      </c>
      <c r="I564" s="2">
        <v>41</v>
      </c>
      <c r="J564">
        <f t="shared" si="32"/>
        <v>607.20015999999998</v>
      </c>
      <c r="K564">
        <f t="shared" si="33"/>
        <v>607.20015999999998</v>
      </c>
    </row>
    <row r="565" spans="2:11" x14ac:dyDescent="0.25">
      <c r="B565" s="1">
        <v>45876</v>
      </c>
      <c r="C565" t="s">
        <v>71</v>
      </c>
      <c r="E565" t="s">
        <v>62</v>
      </c>
      <c r="F565" t="s">
        <v>88</v>
      </c>
      <c r="G565">
        <v>6.4000000000000001E-2</v>
      </c>
      <c r="H565">
        <f t="shared" si="31"/>
        <v>24.824180000000002</v>
      </c>
      <c r="I565" s="2">
        <v>41</v>
      </c>
      <c r="J565">
        <f t="shared" si="32"/>
        <v>1017.7913800000001</v>
      </c>
      <c r="K565">
        <f t="shared" si="33"/>
        <v>1017.7913800000001</v>
      </c>
    </row>
    <row r="566" spans="2:11" x14ac:dyDescent="0.25">
      <c r="B566" s="1">
        <v>45876</v>
      </c>
      <c r="C566" t="s">
        <v>71</v>
      </c>
      <c r="E566" t="s">
        <v>18</v>
      </c>
      <c r="F566" t="s">
        <v>88</v>
      </c>
      <c r="G566">
        <v>0</v>
      </c>
      <c r="H566">
        <f t="shared" si="31"/>
        <v>0.17330000000000001</v>
      </c>
      <c r="I566" s="2">
        <v>41</v>
      </c>
      <c r="J566">
        <f t="shared" si="32"/>
        <v>7.1053000000000006</v>
      </c>
      <c r="K566">
        <f t="shared" si="33"/>
        <v>7.1053000000000006</v>
      </c>
    </row>
    <row r="567" spans="2:11" x14ac:dyDescent="0.25">
      <c r="B567" s="1">
        <v>45876</v>
      </c>
      <c r="C567" t="s">
        <v>71</v>
      </c>
      <c r="E567" t="s">
        <v>19</v>
      </c>
      <c r="F567" t="s">
        <v>88</v>
      </c>
      <c r="G567">
        <v>5.0000000000000001E-3</v>
      </c>
      <c r="H567">
        <f t="shared" si="31"/>
        <v>2.0991499999999998</v>
      </c>
      <c r="I567" s="2">
        <v>41</v>
      </c>
      <c r="J567">
        <f t="shared" si="32"/>
        <v>86.065149999999988</v>
      </c>
      <c r="K567">
        <f t="shared" si="33"/>
        <v>86.065149999999988</v>
      </c>
    </row>
    <row r="568" spans="2:11" x14ac:dyDescent="0.25">
      <c r="B568" s="1">
        <v>45876</v>
      </c>
      <c r="C568" t="s">
        <v>71</v>
      </c>
      <c r="E568" t="s">
        <v>20</v>
      </c>
      <c r="F568" t="s">
        <v>88</v>
      </c>
      <c r="G568">
        <v>0</v>
      </c>
      <c r="H568">
        <f t="shared" si="31"/>
        <v>0.17330000000000001</v>
      </c>
      <c r="I568" s="2">
        <v>41</v>
      </c>
      <c r="J568">
        <f t="shared" si="32"/>
        <v>7.1053000000000006</v>
      </c>
      <c r="K568">
        <f t="shared" si="33"/>
        <v>7.1053000000000006</v>
      </c>
    </row>
    <row r="569" spans="2:11" x14ac:dyDescent="0.25">
      <c r="B569" s="1">
        <v>45876</v>
      </c>
      <c r="C569" t="s">
        <v>71</v>
      </c>
      <c r="E569" t="s">
        <v>63</v>
      </c>
      <c r="F569" t="s">
        <v>88</v>
      </c>
      <c r="G569">
        <v>3.1E-2</v>
      </c>
      <c r="H569">
        <f t="shared" si="31"/>
        <v>12.113569999999999</v>
      </c>
      <c r="I569" s="2">
        <v>41</v>
      </c>
      <c r="J569">
        <f t="shared" si="32"/>
        <v>496.65636999999998</v>
      </c>
      <c r="K569">
        <f t="shared" si="33"/>
        <v>496.65636999999998</v>
      </c>
    </row>
    <row r="570" spans="2:11" x14ac:dyDescent="0.25">
      <c r="B570" s="1">
        <v>45876</v>
      </c>
      <c r="C570" t="s">
        <v>71</v>
      </c>
      <c r="D570" t="s">
        <v>67</v>
      </c>
      <c r="E570">
        <v>1</v>
      </c>
      <c r="F570" t="s">
        <v>88</v>
      </c>
      <c r="G570">
        <v>3.5000000000000003E-2</v>
      </c>
      <c r="H570">
        <f t="shared" si="31"/>
        <v>13.654250000000001</v>
      </c>
      <c r="I570" s="2">
        <v>1</v>
      </c>
      <c r="J570">
        <f t="shared" si="32"/>
        <v>13.654250000000001</v>
      </c>
      <c r="K570">
        <f t="shared" si="33"/>
        <v>13.654250000000001</v>
      </c>
    </row>
    <row r="571" spans="2:11" x14ac:dyDescent="0.25">
      <c r="B571" s="1">
        <v>45876</v>
      </c>
      <c r="C571" t="s">
        <v>71</v>
      </c>
      <c r="D571" t="s">
        <v>67</v>
      </c>
      <c r="E571">
        <v>2</v>
      </c>
      <c r="F571" t="s">
        <v>88</v>
      </c>
      <c r="G571">
        <v>0</v>
      </c>
      <c r="H571">
        <f t="shared" si="31"/>
        <v>0.17330000000000001</v>
      </c>
      <c r="I571" s="2">
        <v>1</v>
      </c>
      <c r="J571">
        <f t="shared" si="32"/>
        <v>0.17330000000000001</v>
      </c>
      <c r="K571">
        <f t="shared" si="33"/>
        <v>0.17330000000000001</v>
      </c>
    </row>
    <row r="572" spans="2:11" x14ac:dyDescent="0.25">
      <c r="B572" s="1">
        <v>45876</v>
      </c>
      <c r="C572" t="s">
        <v>71</v>
      </c>
      <c r="D572" t="s">
        <v>67</v>
      </c>
      <c r="E572">
        <v>3</v>
      </c>
      <c r="F572" t="s">
        <v>88</v>
      </c>
      <c r="G572">
        <v>2.5000000000000001E-2</v>
      </c>
      <c r="H572">
        <f t="shared" si="31"/>
        <v>9.8025500000000001</v>
      </c>
      <c r="I572" s="2">
        <v>1</v>
      </c>
      <c r="J572">
        <f t="shared" si="32"/>
        <v>9.8025500000000001</v>
      </c>
      <c r="K572">
        <f t="shared" si="33"/>
        <v>9.8025500000000001</v>
      </c>
    </row>
    <row r="573" spans="2:11" x14ac:dyDescent="0.25">
      <c r="B573" s="1">
        <v>45876</v>
      </c>
      <c r="C573" t="s">
        <v>72</v>
      </c>
      <c r="E573" t="s">
        <v>13</v>
      </c>
      <c r="F573" t="s">
        <v>88</v>
      </c>
      <c r="G573">
        <v>4.0000000000000001E-3</v>
      </c>
      <c r="H573">
        <f t="shared" si="31"/>
        <v>1.7139800000000001</v>
      </c>
      <c r="I573" s="2">
        <v>41</v>
      </c>
      <c r="J573">
        <f t="shared" si="32"/>
        <v>70.273179999999996</v>
      </c>
      <c r="K573">
        <f t="shared" si="33"/>
        <v>70.273179999999996</v>
      </c>
    </row>
    <row r="574" spans="2:11" x14ac:dyDescent="0.25">
      <c r="B574" s="1">
        <v>45876</v>
      </c>
      <c r="C574" t="s">
        <v>72</v>
      </c>
      <c r="E574" t="s">
        <v>14</v>
      </c>
      <c r="F574" t="s">
        <v>88</v>
      </c>
      <c r="G574">
        <v>2.5000000000000001E-2</v>
      </c>
      <c r="H574">
        <f t="shared" si="31"/>
        <v>9.8025500000000001</v>
      </c>
      <c r="I574" s="2">
        <v>41</v>
      </c>
      <c r="J574">
        <f t="shared" si="32"/>
        <v>401.90455000000003</v>
      </c>
      <c r="K574">
        <f t="shared" si="33"/>
        <v>401.90455000000003</v>
      </c>
    </row>
    <row r="575" spans="2:11" x14ac:dyDescent="0.25">
      <c r="B575" s="1">
        <v>45876</v>
      </c>
      <c r="C575" t="s">
        <v>72</v>
      </c>
      <c r="E575" t="s">
        <v>15</v>
      </c>
      <c r="F575" t="s">
        <v>88</v>
      </c>
      <c r="G575">
        <v>0</v>
      </c>
      <c r="H575">
        <f t="shared" si="31"/>
        <v>0.17330000000000001</v>
      </c>
      <c r="I575" s="2">
        <v>41</v>
      </c>
      <c r="J575">
        <f t="shared" si="32"/>
        <v>7.1053000000000006</v>
      </c>
      <c r="K575">
        <f t="shared" si="33"/>
        <v>7.1053000000000006</v>
      </c>
    </row>
    <row r="576" spans="2:11" x14ac:dyDescent="0.25">
      <c r="B576" s="1">
        <v>45876</v>
      </c>
      <c r="C576" t="s">
        <v>72</v>
      </c>
      <c r="E576" t="s">
        <v>61</v>
      </c>
      <c r="F576" t="s">
        <v>88</v>
      </c>
      <c r="G576">
        <v>0</v>
      </c>
      <c r="H576">
        <f t="shared" si="31"/>
        <v>0.17330000000000001</v>
      </c>
      <c r="I576" s="2">
        <v>41</v>
      </c>
      <c r="J576">
        <f t="shared" si="32"/>
        <v>7.1053000000000006</v>
      </c>
      <c r="K576">
        <f t="shared" si="33"/>
        <v>7.1053000000000006</v>
      </c>
    </row>
    <row r="577" spans="2:11" x14ac:dyDescent="0.25">
      <c r="B577" s="1">
        <v>45876</v>
      </c>
      <c r="C577" t="s">
        <v>72</v>
      </c>
      <c r="E577" t="s">
        <v>16</v>
      </c>
      <c r="F577" t="s">
        <v>88</v>
      </c>
      <c r="G577">
        <v>9.7000000000000003E-2</v>
      </c>
      <c r="H577">
        <f t="shared" si="31"/>
        <v>37.534790000000001</v>
      </c>
      <c r="I577" s="2">
        <v>41</v>
      </c>
      <c r="J577">
        <f t="shared" si="32"/>
        <v>1538.9263900000001</v>
      </c>
      <c r="K577">
        <f t="shared" si="33"/>
        <v>1538.9263900000001</v>
      </c>
    </row>
    <row r="578" spans="2:11" x14ac:dyDescent="0.25">
      <c r="B578" s="1">
        <v>45876</v>
      </c>
      <c r="C578" t="s">
        <v>72</v>
      </c>
      <c r="E578" t="s">
        <v>17</v>
      </c>
      <c r="F578" t="s">
        <v>88</v>
      </c>
      <c r="G578">
        <v>1.4999999999999999E-2</v>
      </c>
      <c r="H578">
        <f t="shared" si="31"/>
        <v>5.95085</v>
      </c>
      <c r="I578" s="2">
        <v>41</v>
      </c>
      <c r="J578">
        <f t="shared" si="32"/>
        <v>243.98484999999999</v>
      </c>
      <c r="K578">
        <f t="shared" si="33"/>
        <v>243.98484999999999</v>
      </c>
    </row>
    <row r="579" spans="2:11" x14ac:dyDescent="0.25">
      <c r="B579" s="1">
        <v>45876</v>
      </c>
      <c r="C579" t="s">
        <v>72</v>
      </c>
      <c r="E579" t="s">
        <v>12</v>
      </c>
      <c r="F579" t="s">
        <v>88</v>
      </c>
      <c r="G579">
        <v>4.0000000000000001E-3</v>
      </c>
      <c r="H579">
        <f t="shared" si="31"/>
        <v>1.7139800000000001</v>
      </c>
      <c r="I579" s="2">
        <v>41</v>
      </c>
      <c r="J579">
        <f t="shared" si="32"/>
        <v>70.273179999999996</v>
      </c>
      <c r="K579">
        <f t="shared" si="33"/>
        <v>70.273179999999996</v>
      </c>
    </row>
    <row r="580" spans="2:11" x14ac:dyDescent="0.25">
      <c r="B580" s="1">
        <v>45876</v>
      </c>
      <c r="C580" t="s">
        <v>72</v>
      </c>
      <c r="E580" t="s">
        <v>62</v>
      </c>
      <c r="F580" t="s">
        <v>88</v>
      </c>
      <c r="G580">
        <v>1.7999999999999999E-2</v>
      </c>
      <c r="H580">
        <f t="shared" si="31"/>
        <v>7.1063599999999996</v>
      </c>
      <c r="I580" s="2">
        <v>41</v>
      </c>
      <c r="J580">
        <f t="shared" si="32"/>
        <v>291.36075999999997</v>
      </c>
      <c r="K580">
        <f t="shared" si="33"/>
        <v>291.36075999999997</v>
      </c>
    </row>
    <row r="581" spans="2:11" x14ac:dyDescent="0.25">
      <c r="B581" s="1">
        <v>45876</v>
      </c>
      <c r="C581" t="s">
        <v>72</v>
      </c>
      <c r="E581" t="s">
        <v>18</v>
      </c>
      <c r="F581" t="s">
        <v>88</v>
      </c>
      <c r="G581">
        <v>1.2999999999999999E-2</v>
      </c>
      <c r="H581">
        <f t="shared" si="31"/>
        <v>5.1805099999999999</v>
      </c>
      <c r="I581" s="2">
        <v>41</v>
      </c>
      <c r="J581">
        <f t="shared" si="32"/>
        <v>212.40091000000001</v>
      </c>
      <c r="K581">
        <f t="shared" si="33"/>
        <v>212.40091000000001</v>
      </c>
    </row>
    <row r="582" spans="2:11" x14ac:dyDescent="0.25">
      <c r="B582" s="1">
        <v>45876</v>
      </c>
      <c r="C582" t="s">
        <v>72</v>
      </c>
      <c r="E582" t="s">
        <v>19</v>
      </c>
      <c r="F582" t="s">
        <v>88</v>
      </c>
      <c r="G582">
        <v>0.01</v>
      </c>
      <c r="H582">
        <f t="shared" si="31"/>
        <v>4.0250000000000004</v>
      </c>
      <c r="I582" s="2">
        <v>41</v>
      </c>
      <c r="J582">
        <f t="shared" si="32"/>
        <v>165.02500000000001</v>
      </c>
      <c r="K582">
        <f t="shared" si="33"/>
        <v>165.02500000000001</v>
      </c>
    </row>
    <row r="583" spans="2:11" x14ac:dyDescent="0.25">
      <c r="B583" s="1">
        <v>45876</v>
      </c>
      <c r="C583" t="s">
        <v>72</v>
      </c>
      <c r="E583" t="s">
        <v>20</v>
      </c>
      <c r="F583" t="s">
        <v>88</v>
      </c>
      <c r="G583">
        <v>7.0000000000000001E-3</v>
      </c>
      <c r="H583">
        <f t="shared" si="31"/>
        <v>2.8694899999999999</v>
      </c>
      <c r="I583" s="2">
        <v>41</v>
      </c>
      <c r="J583">
        <f t="shared" si="32"/>
        <v>117.64909</v>
      </c>
      <c r="K583">
        <f t="shared" si="33"/>
        <v>117.64909</v>
      </c>
    </row>
    <row r="584" spans="2:11" x14ac:dyDescent="0.25">
      <c r="B584" s="1">
        <v>45876</v>
      </c>
      <c r="C584" t="s">
        <v>72</v>
      </c>
      <c r="E584" t="s">
        <v>63</v>
      </c>
      <c r="F584" t="s">
        <v>88</v>
      </c>
      <c r="G584">
        <v>8.9999999999999993E-3</v>
      </c>
      <c r="H584">
        <f t="shared" si="31"/>
        <v>3.6398299999999999</v>
      </c>
      <c r="I584" s="2">
        <v>41</v>
      </c>
      <c r="J584">
        <f t="shared" si="32"/>
        <v>149.23302999999999</v>
      </c>
      <c r="K584">
        <f t="shared" si="33"/>
        <v>149.23302999999999</v>
      </c>
    </row>
    <row r="585" spans="2:11" x14ac:dyDescent="0.25">
      <c r="B585" s="1">
        <v>45876</v>
      </c>
      <c r="C585" t="s">
        <v>72</v>
      </c>
      <c r="D585" t="s">
        <v>67</v>
      </c>
      <c r="E585">
        <v>1</v>
      </c>
      <c r="F585" t="s">
        <v>88</v>
      </c>
      <c r="G585">
        <v>2.3E-2</v>
      </c>
      <c r="H585">
        <f t="shared" si="31"/>
        <v>9.0322099999999992</v>
      </c>
      <c r="I585" s="2">
        <v>1</v>
      </c>
      <c r="J585">
        <f t="shared" si="32"/>
        <v>9.0322099999999992</v>
      </c>
      <c r="K585">
        <f t="shared" si="33"/>
        <v>9.0322099999999992</v>
      </c>
    </row>
    <row r="586" spans="2:11" x14ac:dyDescent="0.25">
      <c r="B586" s="1">
        <v>45876</v>
      </c>
      <c r="C586" t="s">
        <v>72</v>
      </c>
      <c r="D586" t="s">
        <v>67</v>
      </c>
      <c r="E586">
        <v>2</v>
      </c>
      <c r="F586" t="s">
        <v>88</v>
      </c>
      <c r="G586">
        <v>2.1999999999999999E-2</v>
      </c>
      <c r="H586">
        <f t="shared" si="31"/>
        <v>8.6470399999999987</v>
      </c>
      <c r="I586" s="2">
        <v>1</v>
      </c>
      <c r="J586">
        <f t="shared" si="32"/>
        <v>8.6470399999999987</v>
      </c>
      <c r="K586">
        <f t="shared" si="33"/>
        <v>8.6470399999999987</v>
      </c>
    </row>
    <row r="587" spans="2:11" x14ac:dyDescent="0.25">
      <c r="B587" s="1">
        <v>45876</v>
      </c>
      <c r="C587" t="s">
        <v>72</v>
      </c>
      <c r="D587" t="s">
        <v>67</v>
      </c>
      <c r="E587">
        <v>3</v>
      </c>
      <c r="F587" t="s">
        <v>88</v>
      </c>
      <c r="H587">
        <f t="shared" si="31"/>
        <v>0.17330000000000001</v>
      </c>
      <c r="I587" s="2">
        <v>1</v>
      </c>
      <c r="J587">
        <f t="shared" si="32"/>
        <v>0.17330000000000001</v>
      </c>
      <c r="K587">
        <f t="shared" si="33"/>
        <v>0.17330000000000001</v>
      </c>
    </row>
    <row r="588" spans="2:11" x14ac:dyDescent="0.25">
      <c r="B588" s="1">
        <v>45874</v>
      </c>
      <c r="C588" t="s">
        <v>12</v>
      </c>
      <c r="E588" t="s">
        <v>13</v>
      </c>
      <c r="F588" t="s">
        <v>88</v>
      </c>
      <c r="G588">
        <v>0</v>
      </c>
      <c r="H588">
        <f t="shared" si="31"/>
        <v>0.17330000000000001</v>
      </c>
      <c r="I588" s="2">
        <v>41</v>
      </c>
      <c r="J588">
        <f t="shared" si="32"/>
        <v>7.1053000000000006</v>
      </c>
      <c r="K588">
        <f t="shared" si="33"/>
        <v>7.1053000000000006</v>
      </c>
    </row>
    <row r="589" spans="2:11" x14ac:dyDescent="0.25">
      <c r="B589" s="1">
        <v>45874</v>
      </c>
      <c r="C589" t="s">
        <v>12</v>
      </c>
      <c r="E589" t="s">
        <v>14</v>
      </c>
      <c r="F589" t="s">
        <v>88</v>
      </c>
      <c r="G589">
        <v>1.2E-2</v>
      </c>
      <c r="H589">
        <f t="shared" si="31"/>
        <v>4.7953400000000004</v>
      </c>
      <c r="I589" s="2">
        <v>41</v>
      </c>
      <c r="J589">
        <f t="shared" si="32"/>
        <v>196.60894000000002</v>
      </c>
      <c r="K589">
        <f t="shared" si="33"/>
        <v>196.60894000000002</v>
      </c>
    </row>
    <row r="590" spans="2:11" x14ac:dyDescent="0.25">
      <c r="B590" s="1">
        <v>45874</v>
      </c>
      <c r="C590" t="s">
        <v>12</v>
      </c>
      <c r="E590" t="s">
        <v>15</v>
      </c>
      <c r="F590" t="s">
        <v>88</v>
      </c>
      <c r="G590">
        <v>1.2E-2</v>
      </c>
      <c r="H590">
        <f t="shared" si="31"/>
        <v>4.7953400000000004</v>
      </c>
      <c r="I590" s="2">
        <v>41</v>
      </c>
      <c r="J590">
        <f t="shared" si="32"/>
        <v>196.60894000000002</v>
      </c>
      <c r="K590">
        <f t="shared" si="33"/>
        <v>196.60894000000002</v>
      </c>
    </row>
    <row r="591" spans="2:11" x14ac:dyDescent="0.25">
      <c r="B591" s="1">
        <v>45874</v>
      </c>
      <c r="C591" t="s">
        <v>12</v>
      </c>
      <c r="E591" t="s">
        <v>16</v>
      </c>
      <c r="F591" t="s">
        <v>88</v>
      </c>
      <c r="G591">
        <v>1E-3</v>
      </c>
      <c r="H591">
        <f t="shared" si="31"/>
        <v>0.55847000000000002</v>
      </c>
      <c r="I591" s="2">
        <v>41</v>
      </c>
      <c r="J591">
        <f t="shared" si="32"/>
        <v>22.897270000000002</v>
      </c>
      <c r="K591">
        <f t="shared" si="33"/>
        <v>22.897270000000002</v>
      </c>
    </row>
    <row r="592" spans="2:11" x14ac:dyDescent="0.25">
      <c r="B592" s="1">
        <v>45874</v>
      </c>
      <c r="C592" t="s">
        <v>12</v>
      </c>
      <c r="E592" t="s">
        <v>17</v>
      </c>
      <c r="F592" t="s">
        <v>88</v>
      </c>
      <c r="G592">
        <v>2.1999999999999999E-2</v>
      </c>
      <c r="H592">
        <f t="shared" si="31"/>
        <v>8.6470399999999987</v>
      </c>
      <c r="I592" s="2">
        <v>41</v>
      </c>
      <c r="J592">
        <f t="shared" si="32"/>
        <v>354.52863999999994</v>
      </c>
      <c r="K592">
        <f t="shared" si="33"/>
        <v>354.52863999999994</v>
      </c>
    </row>
    <row r="593" spans="2:11" x14ac:dyDescent="0.25">
      <c r="B593" s="1">
        <v>45874</v>
      </c>
      <c r="C593" t="s">
        <v>12</v>
      </c>
      <c r="E593" t="s">
        <v>12</v>
      </c>
      <c r="F593" t="s">
        <v>88</v>
      </c>
      <c r="G593">
        <v>7.0000000000000001E-3</v>
      </c>
      <c r="H593">
        <f t="shared" si="31"/>
        <v>2.8694899999999999</v>
      </c>
      <c r="I593" s="2">
        <v>41</v>
      </c>
      <c r="J593">
        <f t="shared" si="32"/>
        <v>117.64909</v>
      </c>
      <c r="K593">
        <f t="shared" si="33"/>
        <v>117.64909</v>
      </c>
    </row>
    <row r="594" spans="2:11" x14ac:dyDescent="0.25">
      <c r="B594" s="1">
        <v>45874</v>
      </c>
      <c r="C594" t="s">
        <v>12</v>
      </c>
      <c r="E594" t="s">
        <v>18</v>
      </c>
      <c r="F594" t="s">
        <v>88</v>
      </c>
      <c r="G594">
        <v>3.0000000000000001E-3</v>
      </c>
      <c r="H594">
        <f t="shared" si="31"/>
        <v>1.32881</v>
      </c>
      <c r="I594" s="2">
        <v>41</v>
      </c>
      <c r="J594">
        <f t="shared" si="32"/>
        <v>54.481210000000004</v>
      </c>
      <c r="K594">
        <f t="shared" si="33"/>
        <v>54.481210000000004</v>
      </c>
    </row>
    <row r="595" spans="2:11" x14ac:dyDescent="0.25">
      <c r="B595" s="1">
        <v>45874</v>
      </c>
      <c r="C595" t="s">
        <v>12</v>
      </c>
      <c r="E595" t="s">
        <v>19</v>
      </c>
      <c r="F595" t="s">
        <v>88</v>
      </c>
      <c r="G595">
        <v>8.0000000000000002E-3</v>
      </c>
      <c r="H595">
        <f t="shared" si="31"/>
        <v>3.2546600000000003</v>
      </c>
      <c r="I595" s="2">
        <v>41</v>
      </c>
      <c r="J595">
        <f t="shared" si="32"/>
        <v>133.44106000000002</v>
      </c>
      <c r="K595">
        <f t="shared" si="33"/>
        <v>133.44106000000002</v>
      </c>
    </row>
    <row r="596" spans="2:11" x14ac:dyDescent="0.25">
      <c r="B596" s="1">
        <v>45874</v>
      </c>
      <c r="C596" t="s">
        <v>12</v>
      </c>
      <c r="E596" t="s">
        <v>20</v>
      </c>
      <c r="F596" t="s">
        <v>88</v>
      </c>
      <c r="G596">
        <v>0</v>
      </c>
      <c r="H596">
        <f t="shared" si="31"/>
        <v>0.17330000000000001</v>
      </c>
      <c r="I596" s="2">
        <v>41</v>
      </c>
      <c r="J596">
        <f t="shared" si="32"/>
        <v>7.1053000000000006</v>
      </c>
      <c r="K596">
        <f t="shared" si="33"/>
        <v>7.1053000000000006</v>
      </c>
    </row>
    <row r="597" spans="2:11" x14ac:dyDescent="0.25">
      <c r="B597" s="1">
        <v>45874</v>
      </c>
      <c r="C597" t="s">
        <v>12</v>
      </c>
      <c r="E597" t="s">
        <v>21</v>
      </c>
      <c r="F597" t="s">
        <v>88</v>
      </c>
      <c r="G597">
        <v>3.1E-2</v>
      </c>
      <c r="H597">
        <f t="shared" si="31"/>
        <v>12.113569999999999</v>
      </c>
      <c r="I597" s="2">
        <v>41</v>
      </c>
      <c r="J597">
        <f t="shared" si="32"/>
        <v>496.65636999999998</v>
      </c>
      <c r="K597">
        <f t="shared" si="33"/>
        <v>496.65636999999998</v>
      </c>
    </row>
    <row r="598" spans="2:11" x14ac:dyDescent="0.25">
      <c r="B598" s="1">
        <v>45874</v>
      </c>
      <c r="C598" t="s">
        <v>12</v>
      </c>
      <c r="E598" t="s">
        <v>22</v>
      </c>
      <c r="F598" t="s">
        <v>88</v>
      </c>
      <c r="G598">
        <v>0</v>
      </c>
      <c r="H598">
        <f t="shared" si="31"/>
        <v>0.17330000000000001</v>
      </c>
      <c r="I598" s="2">
        <v>41</v>
      </c>
      <c r="J598">
        <f t="shared" si="32"/>
        <v>7.1053000000000006</v>
      </c>
      <c r="K598">
        <f t="shared" si="33"/>
        <v>7.1053000000000006</v>
      </c>
    </row>
    <row r="599" spans="2:11" x14ac:dyDescent="0.25">
      <c r="B599" s="1">
        <v>45874</v>
      </c>
      <c r="C599" t="s">
        <v>12</v>
      </c>
      <c r="E599" t="s">
        <v>23</v>
      </c>
      <c r="F599" t="s">
        <v>88</v>
      </c>
      <c r="G599">
        <v>5.0000000000000001E-3</v>
      </c>
      <c r="H599">
        <f t="shared" si="31"/>
        <v>2.0991499999999998</v>
      </c>
      <c r="I599" s="2">
        <v>41</v>
      </c>
      <c r="J599">
        <f t="shared" si="32"/>
        <v>86.065149999999988</v>
      </c>
      <c r="K599">
        <f t="shared" si="33"/>
        <v>86.065149999999988</v>
      </c>
    </row>
    <row r="600" spans="2:11" x14ac:dyDescent="0.25">
      <c r="B600" s="1">
        <v>45874</v>
      </c>
      <c r="C600" t="s">
        <v>12</v>
      </c>
      <c r="E600" t="s">
        <v>24</v>
      </c>
      <c r="F600" t="s">
        <v>88</v>
      </c>
      <c r="G600">
        <v>3.0000000000000001E-3</v>
      </c>
      <c r="H600">
        <f t="shared" si="31"/>
        <v>1.32881</v>
      </c>
      <c r="I600" s="2">
        <v>41</v>
      </c>
      <c r="J600">
        <f t="shared" si="32"/>
        <v>54.481210000000004</v>
      </c>
      <c r="K600">
        <f t="shared" si="33"/>
        <v>54.481210000000004</v>
      </c>
    </row>
    <row r="601" spans="2:11" x14ac:dyDescent="0.25">
      <c r="B601" s="1">
        <v>45874</v>
      </c>
      <c r="C601" t="s">
        <v>12</v>
      </c>
      <c r="E601" t="s">
        <v>25</v>
      </c>
      <c r="F601" t="s">
        <v>88</v>
      </c>
      <c r="G601">
        <v>3.0000000000000001E-3</v>
      </c>
      <c r="H601">
        <f t="shared" si="31"/>
        <v>1.32881</v>
      </c>
      <c r="I601" s="2">
        <v>41</v>
      </c>
      <c r="J601">
        <f t="shared" si="32"/>
        <v>54.481210000000004</v>
      </c>
      <c r="K601">
        <f t="shared" si="33"/>
        <v>54.481210000000004</v>
      </c>
    </row>
    <row r="602" spans="2:11" x14ac:dyDescent="0.25">
      <c r="B602" s="1">
        <v>45874</v>
      </c>
      <c r="C602" t="s">
        <v>12</v>
      </c>
      <c r="E602" t="s">
        <v>26</v>
      </c>
      <c r="F602" t="s">
        <v>88</v>
      </c>
      <c r="G602">
        <v>0.01</v>
      </c>
      <c r="H602">
        <f t="shared" si="31"/>
        <v>4.0250000000000004</v>
      </c>
      <c r="I602" s="2">
        <v>41</v>
      </c>
      <c r="J602">
        <f t="shared" si="32"/>
        <v>165.02500000000001</v>
      </c>
      <c r="K602">
        <f t="shared" si="33"/>
        <v>165.02500000000001</v>
      </c>
    </row>
    <row r="603" spans="2:11" x14ac:dyDescent="0.25">
      <c r="B603" s="1">
        <v>45874</v>
      </c>
      <c r="C603" t="s">
        <v>12</v>
      </c>
      <c r="E603" t="s">
        <v>27</v>
      </c>
      <c r="F603" t="s">
        <v>88</v>
      </c>
      <c r="G603">
        <v>7.0000000000000001E-3</v>
      </c>
      <c r="H603">
        <f t="shared" si="31"/>
        <v>2.8694899999999999</v>
      </c>
      <c r="I603" s="2">
        <v>41</v>
      </c>
      <c r="J603">
        <f t="shared" si="32"/>
        <v>117.64909</v>
      </c>
      <c r="K603">
        <f t="shared" si="33"/>
        <v>117.64909</v>
      </c>
    </row>
    <row r="604" spans="2:11" x14ac:dyDescent="0.25">
      <c r="B604" s="1">
        <v>45874</v>
      </c>
      <c r="C604" t="s">
        <v>12</v>
      </c>
      <c r="E604" t="s">
        <v>28</v>
      </c>
      <c r="F604" t="s">
        <v>88</v>
      </c>
      <c r="G604">
        <v>1.2999999999999999E-2</v>
      </c>
      <c r="H604">
        <f t="shared" ref="H604:H623" si="34">(385.17*G604)+0.1733</f>
        <v>5.1805099999999999</v>
      </c>
      <c r="I604" s="2">
        <v>41</v>
      </c>
      <c r="J604">
        <f t="shared" ref="J604:J623" si="35">H604*I604</f>
        <v>212.40091000000001</v>
      </c>
      <c r="K604">
        <f t="shared" ref="K604:K667" si="36">MAX(J604,0)</f>
        <v>212.40091000000001</v>
      </c>
    </row>
    <row r="605" spans="2:11" x14ac:dyDescent="0.25">
      <c r="B605" s="1">
        <v>45874</v>
      </c>
      <c r="C605" t="s">
        <v>12</v>
      </c>
      <c r="E605" t="s">
        <v>29</v>
      </c>
      <c r="F605" t="s">
        <v>88</v>
      </c>
      <c r="G605">
        <v>0.03</v>
      </c>
      <c r="H605">
        <f t="shared" si="34"/>
        <v>11.728399999999999</v>
      </c>
      <c r="I605" s="2">
        <v>41</v>
      </c>
      <c r="J605">
        <f t="shared" si="35"/>
        <v>480.86439999999993</v>
      </c>
      <c r="K605">
        <f t="shared" si="36"/>
        <v>480.86439999999993</v>
      </c>
    </row>
    <row r="606" spans="2:11" x14ac:dyDescent="0.25">
      <c r="B606" s="1">
        <v>45874</v>
      </c>
      <c r="C606" t="s">
        <v>30</v>
      </c>
      <c r="E606" t="s">
        <v>13</v>
      </c>
      <c r="F606" t="s">
        <v>88</v>
      </c>
      <c r="G606">
        <v>5.0000000000000001E-3</v>
      </c>
      <c r="H606">
        <f t="shared" si="34"/>
        <v>2.0991499999999998</v>
      </c>
      <c r="I606" s="2">
        <v>41</v>
      </c>
      <c r="J606">
        <f t="shared" si="35"/>
        <v>86.065149999999988</v>
      </c>
      <c r="K606">
        <f t="shared" si="36"/>
        <v>86.065149999999988</v>
      </c>
    </row>
    <row r="607" spans="2:11" x14ac:dyDescent="0.25">
      <c r="B607" s="1">
        <v>45874</v>
      </c>
      <c r="C607" t="s">
        <v>30</v>
      </c>
      <c r="E607" t="s">
        <v>14</v>
      </c>
      <c r="F607" t="s">
        <v>88</v>
      </c>
      <c r="G607">
        <v>1.4E-2</v>
      </c>
      <c r="H607">
        <f t="shared" si="34"/>
        <v>5.5656800000000004</v>
      </c>
      <c r="I607" s="2">
        <v>41</v>
      </c>
      <c r="J607">
        <f t="shared" si="35"/>
        <v>228.19288</v>
      </c>
      <c r="K607">
        <f t="shared" si="36"/>
        <v>228.19288</v>
      </c>
    </row>
    <row r="608" spans="2:11" x14ac:dyDescent="0.25">
      <c r="B608" s="1">
        <v>45874</v>
      </c>
      <c r="C608" t="s">
        <v>30</v>
      </c>
      <c r="E608" t="s">
        <v>15</v>
      </c>
      <c r="F608" t="s">
        <v>88</v>
      </c>
      <c r="G608">
        <v>2E-3</v>
      </c>
      <c r="H608">
        <f t="shared" si="34"/>
        <v>0.94364000000000003</v>
      </c>
      <c r="I608" s="2">
        <v>41</v>
      </c>
      <c r="J608">
        <f t="shared" si="35"/>
        <v>38.689239999999998</v>
      </c>
      <c r="K608">
        <f t="shared" si="36"/>
        <v>38.689239999999998</v>
      </c>
    </row>
    <row r="609" spans="2:11" x14ac:dyDescent="0.25">
      <c r="B609" s="1">
        <v>45874</v>
      </c>
      <c r="C609" t="s">
        <v>30</v>
      </c>
      <c r="E609" t="s">
        <v>16</v>
      </c>
      <c r="F609" t="s">
        <v>88</v>
      </c>
      <c r="G609">
        <v>8.9999999999999993E-3</v>
      </c>
      <c r="H609">
        <f t="shared" si="34"/>
        <v>3.6398299999999999</v>
      </c>
      <c r="I609" s="2">
        <v>41</v>
      </c>
      <c r="J609">
        <f t="shared" si="35"/>
        <v>149.23302999999999</v>
      </c>
      <c r="K609">
        <f t="shared" si="36"/>
        <v>149.23302999999999</v>
      </c>
    </row>
    <row r="610" spans="2:11" x14ac:dyDescent="0.25">
      <c r="B610" s="1">
        <v>45874</v>
      </c>
      <c r="C610" t="s">
        <v>30</v>
      </c>
      <c r="E610" t="s">
        <v>17</v>
      </c>
      <c r="F610" t="s">
        <v>88</v>
      </c>
      <c r="G610">
        <v>1.7000000000000001E-2</v>
      </c>
      <c r="H610">
        <f t="shared" si="34"/>
        <v>6.7211900000000009</v>
      </c>
      <c r="I610" s="2">
        <v>41</v>
      </c>
      <c r="J610">
        <f t="shared" si="35"/>
        <v>275.56879000000004</v>
      </c>
      <c r="K610">
        <f t="shared" si="36"/>
        <v>275.56879000000004</v>
      </c>
    </row>
    <row r="611" spans="2:11" x14ac:dyDescent="0.25">
      <c r="B611" s="1">
        <v>45874</v>
      </c>
      <c r="C611" t="s">
        <v>30</v>
      </c>
      <c r="E611" t="s">
        <v>12</v>
      </c>
      <c r="F611" t="s">
        <v>88</v>
      </c>
      <c r="G611">
        <v>1.2999999999999999E-2</v>
      </c>
      <c r="H611">
        <f t="shared" si="34"/>
        <v>5.1805099999999999</v>
      </c>
      <c r="I611" s="2">
        <v>41</v>
      </c>
      <c r="J611">
        <f t="shared" si="35"/>
        <v>212.40091000000001</v>
      </c>
      <c r="K611">
        <f t="shared" si="36"/>
        <v>212.40091000000001</v>
      </c>
    </row>
    <row r="612" spans="2:11" x14ac:dyDescent="0.25">
      <c r="B612" s="1">
        <v>45874</v>
      </c>
      <c r="C612" t="s">
        <v>30</v>
      </c>
      <c r="E612" t="s">
        <v>18</v>
      </c>
      <c r="F612" t="s">
        <v>88</v>
      </c>
      <c r="G612">
        <v>2.5000000000000001E-2</v>
      </c>
      <c r="H612">
        <f t="shared" si="34"/>
        <v>9.8025500000000001</v>
      </c>
      <c r="I612" s="2">
        <v>41</v>
      </c>
      <c r="J612">
        <f t="shared" si="35"/>
        <v>401.90455000000003</v>
      </c>
      <c r="K612">
        <f t="shared" si="36"/>
        <v>401.90455000000003</v>
      </c>
    </row>
    <row r="613" spans="2:11" x14ac:dyDescent="0.25">
      <c r="B613" s="1">
        <v>45874</v>
      </c>
      <c r="C613" t="s">
        <v>30</v>
      </c>
      <c r="E613" t="s">
        <v>19</v>
      </c>
      <c r="F613" t="s">
        <v>88</v>
      </c>
      <c r="G613">
        <v>2E-3</v>
      </c>
      <c r="H613">
        <f t="shared" si="34"/>
        <v>0.94364000000000003</v>
      </c>
      <c r="I613" s="2">
        <v>41</v>
      </c>
      <c r="J613">
        <f t="shared" si="35"/>
        <v>38.689239999999998</v>
      </c>
      <c r="K613">
        <f t="shared" si="36"/>
        <v>38.689239999999998</v>
      </c>
    </row>
    <row r="614" spans="2:11" x14ac:dyDescent="0.25">
      <c r="B614" s="1">
        <v>45874</v>
      </c>
      <c r="C614" t="s">
        <v>30</v>
      </c>
      <c r="E614" t="s">
        <v>20</v>
      </c>
      <c r="F614" t="s">
        <v>88</v>
      </c>
      <c r="G614">
        <v>7.0000000000000001E-3</v>
      </c>
      <c r="H614">
        <f t="shared" si="34"/>
        <v>2.8694899999999999</v>
      </c>
      <c r="I614" s="2">
        <v>41</v>
      </c>
      <c r="J614">
        <f t="shared" si="35"/>
        <v>117.64909</v>
      </c>
      <c r="K614">
        <f t="shared" si="36"/>
        <v>117.64909</v>
      </c>
    </row>
    <row r="615" spans="2:11" x14ac:dyDescent="0.25">
      <c r="B615" s="1">
        <v>45874</v>
      </c>
      <c r="C615" t="s">
        <v>30</v>
      </c>
      <c r="E615" t="s">
        <v>21</v>
      </c>
      <c r="F615" t="s">
        <v>88</v>
      </c>
      <c r="G615">
        <v>3.3000000000000002E-2</v>
      </c>
      <c r="H615">
        <f t="shared" si="34"/>
        <v>12.88391</v>
      </c>
      <c r="I615" s="2">
        <v>41</v>
      </c>
      <c r="J615">
        <f t="shared" si="35"/>
        <v>528.24031000000002</v>
      </c>
      <c r="K615">
        <f t="shared" si="36"/>
        <v>528.24031000000002</v>
      </c>
    </row>
    <row r="616" spans="2:11" x14ac:dyDescent="0.25">
      <c r="B616" s="1">
        <v>45874</v>
      </c>
      <c r="C616" t="s">
        <v>30</v>
      </c>
      <c r="E616" t="s">
        <v>22</v>
      </c>
      <c r="F616" t="s">
        <v>88</v>
      </c>
      <c r="G616">
        <v>2.8000000000000001E-2</v>
      </c>
      <c r="H616">
        <f t="shared" si="34"/>
        <v>10.95806</v>
      </c>
      <c r="I616" s="2">
        <v>41</v>
      </c>
      <c r="J616">
        <f t="shared" si="35"/>
        <v>449.28046000000001</v>
      </c>
      <c r="K616">
        <f t="shared" si="36"/>
        <v>449.28046000000001</v>
      </c>
    </row>
    <row r="617" spans="2:11" x14ac:dyDescent="0.25">
      <c r="B617" s="1">
        <v>45874</v>
      </c>
      <c r="C617" t="s">
        <v>30</v>
      </c>
      <c r="E617" t="s">
        <v>23</v>
      </c>
      <c r="F617" t="s">
        <v>88</v>
      </c>
      <c r="G617">
        <v>1.6E-2</v>
      </c>
      <c r="H617">
        <f t="shared" si="34"/>
        <v>6.3360200000000004</v>
      </c>
      <c r="I617" s="2">
        <v>41</v>
      </c>
      <c r="J617">
        <f t="shared" si="35"/>
        <v>259.77682000000004</v>
      </c>
      <c r="K617">
        <f t="shared" si="36"/>
        <v>259.77682000000004</v>
      </c>
    </row>
    <row r="618" spans="2:11" x14ac:dyDescent="0.25">
      <c r="B618" s="1">
        <v>45874</v>
      </c>
      <c r="C618" t="s">
        <v>30</v>
      </c>
      <c r="E618" t="s">
        <v>24</v>
      </c>
      <c r="F618" t="s">
        <v>88</v>
      </c>
      <c r="G618">
        <v>3.5999999999999997E-2</v>
      </c>
      <c r="H618">
        <f t="shared" si="34"/>
        <v>14.039419999999998</v>
      </c>
      <c r="I618" s="2">
        <v>41</v>
      </c>
      <c r="J618">
        <f t="shared" si="35"/>
        <v>575.61621999999988</v>
      </c>
      <c r="K618">
        <f t="shared" si="36"/>
        <v>575.61621999999988</v>
      </c>
    </row>
    <row r="619" spans="2:11" x14ac:dyDescent="0.25">
      <c r="B619" s="1">
        <v>45874</v>
      </c>
      <c r="C619" t="s">
        <v>30</v>
      </c>
      <c r="E619" t="s">
        <v>25</v>
      </c>
      <c r="F619" t="s">
        <v>88</v>
      </c>
      <c r="G619">
        <v>5.0000000000000001E-3</v>
      </c>
      <c r="H619">
        <f t="shared" si="34"/>
        <v>2.0991499999999998</v>
      </c>
      <c r="I619" s="2">
        <v>41</v>
      </c>
      <c r="J619">
        <f t="shared" si="35"/>
        <v>86.065149999999988</v>
      </c>
      <c r="K619">
        <f t="shared" si="36"/>
        <v>86.065149999999988</v>
      </c>
    </row>
    <row r="620" spans="2:11" x14ac:dyDescent="0.25">
      <c r="B620" s="1">
        <v>45874</v>
      </c>
      <c r="C620" t="s">
        <v>30</v>
      </c>
      <c r="E620" t="s">
        <v>26</v>
      </c>
      <c r="F620" t="s">
        <v>88</v>
      </c>
      <c r="G620">
        <v>2.5999999999999999E-2</v>
      </c>
      <c r="H620">
        <f t="shared" si="34"/>
        <v>10.187719999999999</v>
      </c>
      <c r="I620" s="2">
        <v>41</v>
      </c>
      <c r="J620">
        <f t="shared" si="35"/>
        <v>417.69651999999996</v>
      </c>
      <c r="K620">
        <f t="shared" si="36"/>
        <v>417.69651999999996</v>
      </c>
    </row>
    <row r="621" spans="2:11" x14ac:dyDescent="0.25">
      <c r="B621" s="1">
        <v>45874</v>
      </c>
      <c r="C621" t="s">
        <v>30</v>
      </c>
      <c r="E621" t="s">
        <v>27</v>
      </c>
      <c r="F621" t="s">
        <v>88</v>
      </c>
      <c r="G621">
        <v>4.2000000000000003E-2</v>
      </c>
      <c r="H621">
        <f t="shared" si="34"/>
        <v>16.350440000000003</v>
      </c>
      <c r="I621" s="2">
        <v>41</v>
      </c>
      <c r="J621">
        <f t="shared" si="35"/>
        <v>670.36804000000006</v>
      </c>
      <c r="K621">
        <f t="shared" si="36"/>
        <v>670.36804000000006</v>
      </c>
    </row>
    <row r="622" spans="2:11" x14ac:dyDescent="0.25">
      <c r="B622" s="1">
        <v>45874</v>
      </c>
      <c r="C622" t="s">
        <v>30</v>
      </c>
      <c r="E622" t="s">
        <v>28</v>
      </c>
      <c r="F622" t="s">
        <v>88</v>
      </c>
      <c r="G622">
        <v>0.03</v>
      </c>
      <c r="H622">
        <f t="shared" si="34"/>
        <v>11.728399999999999</v>
      </c>
      <c r="I622" s="2">
        <v>41</v>
      </c>
      <c r="J622">
        <f t="shared" si="35"/>
        <v>480.86439999999993</v>
      </c>
      <c r="K622">
        <f t="shared" si="36"/>
        <v>480.86439999999993</v>
      </c>
    </row>
    <row r="623" spans="2:11" x14ac:dyDescent="0.25">
      <c r="B623" s="1">
        <v>45874</v>
      </c>
      <c r="C623" t="s">
        <v>30</v>
      </c>
      <c r="E623" t="s">
        <v>29</v>
      </c>
      <c r="F623" t="s">
        <v>88</v>
      </c>
      <c r="G623">
        <v>3.2000000000000001E-2</v>
      </c>
      <c r="H623">
        <f t="shared" si="34"/>
        <v>12.49874</v>
      </c>
      <c r="I623" s="2">
        <v>41</v>
      </c>
      <c r="J623">
        <f t="shared" si="35"/>
        <v>512.44834000000003</v>
      </c>
      <c r="K623">
        <f t="shared" si="36"/>
        <v>512.44834000000003</v>
      </c>
    </row>
    <row r="624" spans="2:11" x14ac:dyDescent="0.25">
      <c r="B624" s="1">
        <v>45913</v>
      </c>
      <c r="C624" t="s">
        <v>68</v>
      </c>
      <c r="E624" t="s">
        <v>13</v>
      </c>
      <c r="F624" t="s">
        <v>89</v>
      </c>
      <c r="G624">
        <v>0</v>
      </c>
      <c r="H624">
        <f>(344.47*G624)-2.4146</f>
        <v>-2.4146000000000001</v>
      </c>
      <c r="I624" s="2">
        <v>41</v>
      </c>
      <c r="J624">
        <f t="shared" ref="J624:J687" si="37">H624*I624</f>
        <v>-98.99860000000001</v>
      </c>
      <c r="K624">
        <f t="shared" si="36"/>
        <v>0</v>
      </c>
    </row>
    <row r="625" spans="2:11" x14ac:dyDescent="0.25">
      <c r="B625" s="1">
        <v>45913</v>
      </c>
      <c r="C625" t="s">
        <v>68</v>
      </c>
      <c r="E625" t="s">
        <v>14</v>
      </c>
      <c r="F625" t="s">
        <v>89</v>
      </c>
      <c r="G625">
        <v>5.0000000000000001E-3</v>
      </c>
      <c r="H625">
        <f>(344.47*G625)-2.4146</f>
        <v>-0.69224999999999981</v>
      </c>
      <c r="I625" s="2">
        <v>41</v>
      </c>
      <c r="J625">
        <f t="shared" si="37"/>
        <v>-28.382249999999992</v>
      </c>
      <c r="K625">
        <f t="shared" si="36"/>
        <v>0</v>
      </c>
    </row>
    <row r="626" spans="2:11" x14ac:dyDescent="0.25">
      <c r="B626" s="1">
        <v>45913</v>
      </c>
      <c r="C626" t="s">
        <v>68</v>
      </c>
      <c r="E626" t="s">
        <v>15</v>
      </c>
      <c r="F626" t="s">
        <v>89</v>
      </c>
      <c r="G626">
        <v>0</v>
      </c>
      <c r="H626">
        <f t="shared" ref="H626:H689" si="38">(344.47*G626)-2.4146</f>
        <v>-2.4146000000000001</v>
      </c>
      <c r="I626" s="2">
        <v>41</v>
      </c>
      <c r="J626">
        <f t="shared" si="37"/>
        <v>-98.99860000000001</v>
      </c>
      <c r="K626">
        <f t="shared" si="36"/>
        <v>0</v>
      </c>
    </row>
    <row r="627" spans="2:11" x14ac:dyDescent="0.25">
      <c r="B627" s="1">
        <v>45913</v>
      </c>
      <c r="C627" t="s">
        <v>68</v>
      </c>
      <c r="E627" t="s">
        <v>61</v>
      </c>
      <c r="F627" t="s">
        <v>89</v>
      </c>
      <c r="G627">
        <v>0</v>
      </c>
      <c r="H627">
        <f t="shared" si="38"/>
        <v>-2.4146000000000001</v>
      </c>
      <c r="I627" s="2">
        <v>41</v>
      </c>
      <c r="J627">
        <f t="shared" si="37"/>
        <v>-98.99860000000001</v>
      </c>
      <c r="K627">
        <f t="shared" si="36"/>
        <v>0</v>
      </c>
    </row>
    <row r="628" spans="2:11" x14ac:dyDescent="0.25">
      <c r="B628" s="1">
        <v>45913</v>
      </c>
      <c r="C628" t="s">
        <v>68</v>
      </c>
      <c r="E628" t="s">
        <v>16</v>
      </c>
      <c r="F628" t="s">
        <v>89</v>
      </c>
      <c r="G628">
        <v>0</v>
      </c>
      <c r="H628">
        <f t="shared" si="38"/>
        <v>-2.4146000000000001</v>
      </c>
      <c r="I628" s="2">
        <v>41</v>
      </c>
      <c r="J628">
        <f t="shared" si="37"/>
        <v>-98.99860000000001</v>
      </c>
      <c r="K628">
        <f t="shared" si="36"/>
        <v>0</v>
      </c>
    </row>
    <row r="629" spans="2:11" x14ac:dyDescent="0.25">
      <c r="B629" s="1">
        <v>45913</v>
      </c>
      <c r="C629" t="s">
        <v>68</v>
      </c>
      <c r="E629" t="s">
        <v>17</v>
      </c>
      <c r="F629" t="s">
        <v>89</v>
      </c>
      <c r="G629">
        <v>0</v>
      </c>
      <c r="H629">
        <f t="shared" si="38"/>
        <v>-2.4146000000000001</v>
      </c>
      <c r="I629" s="2">
        <v>41</v>
      </c>
      <c r="J629">
        <f t="shared" si="37"/>
        <v>-98.99860000000001</v>
      </c>
      <c r="K629">
        <f t="shared" si="36"/>
        <v>0</v>
      </c>
    </row>
    <row r="630" spans="2:11" x14ac:dyDescent="0.25">
      <c r="B630" s="1">
        <v>45913</v>
      </c>
      <c r="C630" t="s">
        <v>68</v>
      </c>
      <c r="E630" t="s">
        <v>12</v>
      </c>
      <c r="F630" t="s">
        <v>89</v>
      </c>
      <c r="G630">
        <v>0</v>
      </c>
      <c r="H630">
        <f t="shared" si="38"/>
        <v>-2.4146000000000001</v>
      </c>
      <c r="I630" s="2">
        <v>41</v>
      </c>
      <c r="J630">
        <f t="shared" si="37"/>
        <v>-98.99860000000001</v>
      </c>
      <c r="K630">
        <f t="shared" si="36"/>
        <v>0</v>
      </c>
    </row>
    <row r="631" spans="2:11" x14ac:dyDescent="0.25">
      <c r="B631" s="1">
        <v>45913</v>
      </c>
      <c r="C631" t="s">
        <v>68</v>
      </c>
      <c r="E631" t="s">
        <v>62</v>
      </c>
      <c r="F631" t="s">
        <v>89</v>
      </c>
      <c r="G631">
        <v>0</v>
      </c>
      <c r="H631">
        <f t="shared" si="38"/>
        <v>-2.4146000000000001</v>
      </c>
      <c r="I631" s="2">
        <v>41</v>
      </c>
      <c r="J631">
        <f t="shared" si="37"/>
        <v>-98.99860000000001</v>
      </c>
      <c r="K631">
        <f t="shared" si="36"/>
        <v>0</v>
      </c>
    </row>
    <row r="632" spans="2:11" x14ac:dyDescent="0.25">
      <c r="B632" s="1">
        <v>45913</v>
      </c>
      <c r="C632" t="s">
        <v>68</v>
      </c>
      <c r="E632" t="s">
        <v>18</v>
      </c>
      <c r="F632" t="s">
        <v>89</v>
      </c>
      <c r="G632">
        <v>0</v>
      </c>
      <c r="H632">
        <f t="shared" si="38"/>
        <v>-2.4146000000000001</v>
      </c>
      <c r="I632" s="2">
        <v>41</v>
      </c>
      <c r="J632">
        <f t="shared" si="37"/>
        <v>-98.99860000000001</v>
      </c>
      <c r="K632">
        <f t="shared" si="36"/>
        <v>0</v>
      </c>
    </row>
    <row r="633" spans="2:11" x14ac:dyDescent="0.25">
      <c r="B633" s="1">
        <v>45913</v>
      </c>
      <c r="C633" t="s">
        <v>68</v>
      </c>
      <c r="E633" t="s">
        <v>19</v>
      </c>
      <c r="F633" t="s">
        <v>89</v>
      </c>
      <c r="G633">
        <v>0</v>
      </c>
      <c r="H633">
        <f t="shared" si="38"/>
        <v>-2.4146000000000001</v>
      </c>
      <c r="I633" s="2">
        <v>41</v>
      </c>
      <c r="J633">
        <f t="shared" si="37"/>
        <v>-98.99860000000001</v>
      </c>
      <c r="K633">
        <f t="shared" si="36"/>
        <v>0</v>
      </c>
    </row>
    <row r="634" spans="2:11" x14ac:dyDescent="0.25">
      <c r="B634" s="1">
        <v>45913</v>
      </c>
      <c r="C634" t="s">
        <v>68</v>
      </c>
      <c r="E634" t="s">
        <v>20</v>
      </c>
      <c r="F634" t="s">
        <v>89</v>
      </c>
      <c r="G634">
        <v>0</v>
      </c>
      <c r="H634">
        <f t="shared" si="38"/>
        <v>-2.4146000000000001</v>
      </c>
      <c r="I634" s="2">
        <v>41</v>
      </c>
      <c r="J634">
        <f t="shared" si="37"/>
        <v>-98.99860000000001</v>
      </c>
      <c r="K634">
        <f t="shared" si="36"/>
        <v>0</v>
      </c>
    </row>
    <row r="635" spans="2:11" x14ac:dyDescent="0.25">
      <c r="B635" s="1">
        <v>45913</v>
      </c>
      <c r="C635" t="s">
        <v>68</v>
      </c>
      <c r="E635" t="s">
        <v>63</v>
      </c>
      <c r="F635" t="s">
        <v>89</v>
      </c>
      <c r="G635">
        <v>0</v>
      </c>
      <c r="H635">
        <f t="shared" si="38"/>
        <v>-2.4146000000000001</v>
      </c>
      <c r="I635" s="2">
        <v>41</v>
      </c>
      <c r="J635">
        <f t="shared" si="37"/>
        <v>-98.99860000000001</v>
      </c>
      <c r="K635">
        <f t="shared" si="36"/>
        <v>0</v>
      </c>
    </row>
    <row r="636" spans="2:11" x14ac:dyDescent="0.25">
      <c r="B636" s="1">
        <v>45913</v>
      </c>
      <c r="C636" t="s">
        <v>68</v>
      </c>
      <c r="E636" t="s">
        <v>21</v>
      </c>
      <c r="F636" t="s">
        <v>89</v>
      </c>
      <c r="G636">
        <v>0</v>
      </c>
      <c r="H636">
        <f t="shared" si="38"/>
        <v>-2.4146000000000001</v>
      </c>
      <c r="I636" s="2">
        <v>41</v>
      </c>
      <c r="J636">
        <f t="shared" si="37"/>
        <v>-98.99860000000001</v>
      </c>
      <c r="K636">
        <f t="shared" si="36"/>
        <v>0</v>
      </c>
    </row>
    <row r="637" spans="2:11" x14ac:dyDescent="0.25">
      <c r="B637" s="1">
        <v>45913</v>
      </c>
      <c r="C637" t="s">
        <v>68</v>
      </c>
      <c r="E637" t="s">
        <v>22</v>
      </c>
      <c r="F637" t="s">
        <v>89</v>
      </c>
      <c r="G637">
        <v>0.01</v>
      </c>
      <c r="H637">
        <f t="shared" si="38"/>
        <v>1.0301000000000005</v>
      </c>
      <c r="I637" s="2">
        <v>41</v>
      </c>
      <c r="J637">
        <f t="shared" si="37"/>
        <v>42.234100000000019</v>
      </c>
      <c r="K637">
        <f t="shared" si="36"/>
        <v>42.234100000000019</v>
      </c>
    </row>
    <row r="638" spans="2:11" x14ac:dyDescent="0.25">
      <c r="B638" s="1">
        <v>45913</v>
      </c>
      <c r="C638" t="s">
        <v>68</v>
      </c>
      <c r="E638" t="s">
        <v>23</v>
      </c>
      <c r="F638" t="s">
        <v>89</v>
      </c>
      <c r="G638">
        <v>0</v>
      </c>
      <c r="H638">
        <f t="shared" si="38"/>
        <v>-2.4146000000000001</v>
      </c>
      <c r="I638" s="2">
        <v>41</v>
      </c>
      <c r="J638">
        <f t="shared" si="37"/>
        <v>-98.99860000000001</v>
      </c>
      <c r="K638">
        <f t="shared" si="36"/>
        <v>0</v>
      </c>
    </row>
    <row r="639" spans="2:11" x14ac:dyDescent="0.25">
      <c r="B639" s="1">
        <v>45913</v>
      </c>
      <c r="C639" t="s">
        <v>68</v>
      </c>
      <c r="E639" t="s">
        <v>64</v>
      </c>
      <c r="F639" t="s">
        <v>89</v>
      </c>
      <c r="G639">
        <v>0</v>
      </c>
      <c r="H639">
        <f t="shared" si="38"/>
        <v>-2.4146000000000001</v>
      </c>
      <c r="I639" s="2">
        <v>41</v>
      </c>
      <c r="J639">
        <f t="shared" si="37"/>
        <v>-98.99860000000001</v>
      </c>
      <c r="K639">
        <f t="shared" si="36"/>
        <v>0</v>
      </c>
    </row>
    <row r="640" spans="2:11" x14ac:dyDescent="0.25">
      <c r="B640" s="1">
        <v>45913</v>
      </c>
      <c r="C640" t="s">
        <v>68</v>
      </c>
      <c r="E640" t="s">
        <v>24</v>
      </c>
      <c r="F640" t="s">
        <v>89</v>
      </c>
      <c r="G640">
        <v>0</v>
      </c>
      <c r="H640">
        <f t="shared" si="38"/>
        <v>-2.4146000000000001</v>
      </c>
      <c r="I640" s="2">
        <v>41</v>
      </c>
      <c r="J640">
        <f t="shared" si="37"/>
        <v>-98.99860000000001</v>
      </c>
      <c r="K640">
        <f t="shared" si="36"/>
        <v>0</v>
      </c>
    </row>
    <row r="641" spans="2:11" x14ac:dyDescent="0.25">
      <c r="B641" s="1">
        <v>45913</v>
      </c>
      <c r="C641" t="s">
        <v>68</v>
      </c>
      <c r="E641" t="s">
        <v>25</v>
      </c>
      <c r="F641" t="s">
        <v>89</v>
      </c>
      <c r="G641">
        <v>0</v>
      </c>
      <c r="H641">
        <f t="shared" si="38"/>
        <v>-2.4146000000000001</v>
      </c>
      <c r="I641" s="2">
        <v>41</v>
      </c>
      <c r="J641">
        <f t="shared" si="37"/>
        <v>-98.99860000000001</v>
      </c>
      <c r="K641">
        <f t="shared" si="36"/>
        <v>0</v>
      </c>
    </row>
    <row r="642" spans="2:11" x14ac:dyDescent="0.25">
      <c r="B642" s="1">
        <v>45913</v>
      </c>
      <c r="C642" t="s">
        <v>68</v>
      </c>
      <c r="E642" t="s">
        <v>26</v>
      </c>
      <c r="F642" t="s">
        <v>89</v>
      </c>
      <c r="G642">
        <v>0</v>
      </c>
      <c r="H642">
        <f t="shared" si="38"/>
        <v>-2.4146000000000001</v>
      </c>
      <c r="I642" s="2">
        <v>41</v>
      </c>
      <c r="J642">
        <f t="shared" si="37"/>
        <v>-98.99860000000001</v>
      </c>
      <c r="K642">
        <f t="shared" si="36"/>
        <v>0</v>
      </c>
    </row>
    <row r="643" spans="2:11" x14ac:dyDescent="0.25">
      <c r="B643" s="1">
        <v>45913</v>
      </c>
      <c r="C643" t="s">
        <v>68</v>
      </c>
      <c r="E643" t="s">
        <v>65</v>
      </c>
      <c r="F643" t="s">
        <v>89</v>
      </c>
      <c r="G643">
        <v>0</v>
      </c>
      <c r="H643">
        <f t="shared" si="38"/>
        <v>-2.4146000000000001</v>
      </c>
      <c r="I643" s="2">
        <v>41</v>
      </c>
      <c r="J643">
        <f t="shared" si="37"/>
        <v>-98.99860000000001</v>
      </c>
      <c r="K643">
        <f t="shared" si="36"/>
        <v>0</v>
      </c>
    </row>
    <row r="644" spans="2:11" x14ac:dyDescent="0.25">
      <c r="B644" s="1">
        <v>45913</v>
      </c>
      <c r="C644" t="s">
        <v>68</v>
      </c>
      <c r="E644" t="s">
        <v>27</v>
      </c>
      <c r="F644" t="s">
        <v>89</v>
      </c>
      <c r="G644">
        <v>0</v>
      </c>
      <c r="H644">
        <f t="shared" si="38"/>
        <v>-2.4146000000000001</v>
      </c>
      <c r="I644" s="2">
        <v>41</v>
      </c>
      <c r="J644">
        <f t="shared" si="37"/>
        <v>-98.99860000000001</v>
      </c>
      <c r="K644">
        <f t="shared" si="36"/>
        <v>0</v>
      </c>
    </row>
    <row r="645" spans="2:11" x14ac:dyDescent="0.25">
      <c r="B645" s="1">
        <v>45913</v>
      </c>
      <c r="C645" t="s">
        <v>68</v>
      </c>
      <c r="E645" t="s">
        <v>28</v>
      </c>
      <c r="F645" t="s">
        <v>89</v>
      </c>
      <c r="G645">
        <v>0</v>
      </c>
      <c r="H645">
        <f t="shared" si="38"/>
        <v>-2.4146000000000001</v>
      </c>
      <c r="I645" s="2">
        <v>41</v>
      </c>
      <c r="J645">
        <f t="shared" si="37"/>
        <v>-98.99860000000001</v>
      </c>
      <c r="K645">
        <f t="shared" si="36"/>
        <v>0</v>
      </c>
    </row>
    <row r="646" spans="2:11" x14ac:dyDescent="0.25">
      <c r="B646" s="1">
        <v>45913</v>
      </c>
      <c r="C646" t="s">
        <v>68</v>
      </c>
      <c r="E646" t="s">
        <v>29</v>
      </c>
      <c r="F646" t="s">
        <v>89</v>
      </c>
      <c r="G646">
        <v>0</v>
      </c>
      <c r="H646">
        <f t="shared" si="38"/>
        <v>-2.4146000000000001</v>
      </c>
      <c r="I646" s="2">
        <v>41</v>
      </c>
      <c r="J646">
        <f t="shared" si="37"/>
        <v>-98.99860000000001</v>
      </c>
      <c r="K646">
        <f t="shared" si="36"/>
        <v>0</v>
      </c>
    </row>
    <row r="647" spans="2:11" x14ac:dyDescent="0.25">
      <c r="B647" s="1">
        <v>45913</v>
      </c>
      <c r="C647" t="s">
        <v>68</v>
      </c>
      <c r="E647" t="s">
        <v>66</v>
      </c>
      <c r="F647" t="s">
        <v>89</v>
      </c>
      <c r="G647">
        <v>0</v>
      </c>
      <c r="H647">
        <f t="shared" si="38"/>
        <v>-2.4146000000000001</v>
      </c>
      <c r="I647" s="2">
        <v>41</v>
      </c>
      <c r="J647">
        <f t="shared" si="37"/>
        <v>-98.99860000000001</v>
      </c>
      <c r="K647">
        <f t="shared" si="36"/>
        <v>0</v>
      </c>
    </row>
    <row r="648" spans="2:11" x14ac:dyDescent="0.25">
      <c r="B648" s="1">
        <v>45913</v>
      </c>
      <c r="C648" t="s">
        <v>68</v>
      </c>
      <c r="D648" t="s">
        <v>67</v>
      </c>
      <c r="E648">
        <v>1</v>
      </c>
      <c r="F648" t="s">
        <v>89</v>
      </c>
      <c r="G648">
        <v>8.9999999999999993E-3</v>
      </c>
      <c r="H648">
        <f t="shared" si="38"/>
        <v>0.68562999999999974</v>
      </c>
      <c r="I648" s="2">
        <v>1</v>
      </c>
      <c r="J648">
        <f t="shared" si="37"/>
        <v>0.68562999999999974</v>
      </c>
      <c r="K648">
        <f t="shared" si="36"/>
        <v>0.68562999999999974</v>
      </c>
    </row>
    <row r="649" spans="2:11" x14ac:dyDescent="0.25">
      <c r="B649" s="1">
        <v>45913</v>
      </c>
      <c r="C649" t="s">
        <v>68</v>
      </c>
      <c r="D649" t="s">
        <v>67</v>
      </c>
      <c r="E649">
        <v>2</v>
      </c>
      <c r="F649" t="s">
        <v>89</v>
      </c>
      <c r="G649">
        <v>0</v>
      </c>
      <c r="H649">
        <f t="shared" si="38"/>
        <v>-2.4146000000000001</v>
      </c>
      <c r="I649" s="2">
        <v>1</v>
      </c>
      <c r="J649">
        <f t="shared" si="37"/>
        <v>-2.4146000000000001</v>
      </c>
      <c r="K649">
        <f t="shared" si="36"/>
        <v>0</v>
      </c>
    </row>
    <row r="650" spans="2:11" x14ac:dyDescent="0.25">
      <c r="B650" s="1">
        <v>45913</v>
      </c>
      <c r="C650" t="s">
        <v>68</v>
      </c>
      <c r="D650" t="s">
        <v>67</v>
      </c>
      <c r="E650">
        <v>3</v>
      </c>
      <c r="F650" t="s">
        <v>89</v>
      </c>
      <c r="G650">
        <v>8.0000000000000002E-3</v>
      </c>
      <c r="H650">
        <f t="shared" si="38"/>
        <v>0.34116000000000035</v>
      </c>
      <c r="I650" s="2">
        <v>1</v>
      </c>
      <c r="J650">
        <f t="shared" si="37"/>
        <v>0.34116000000000035</v>
      </c>
      <c r="K650">
        <f t="shared" si="36"/>
        <v>0.34116000000000035</v>
      </c>
    </row>
    <row r="651" spans="2:11" x14ac:dyDescent="0.25">
      <c r="B651" s="1">
        <v>45913</v>
      </c>
      <c r="C651" t="s">
        <v>60</v>
      </c>
      <c r="E651" t="s">
        <v>13</v>
      </c>
      <c r="F651" t="s">
        <v>89</v>
      </c>
      <c r="G651">
        <v>0</v>
      </c>
      <c r="H651">
        <f t="shared" si="38"/>
        <v>-2.4146000000000001</v>
      </c>
      <c r="I651" s="2">
        <v>41</v>
      </c>
      <c r="J651">
        <f t="shared" si="37"/>
        <v>-98.99860000000001</v>
      </c>
      <c r="K651">
        <f t="shared" si="36"/>
        <v>0</v>
      </c>
    </row>
    <row r="652" spans="2:11" x14ac:dyDescent="0.25">
      <c r="B652" s="1">
        <v>45913</v>
      </c>
      <c r="C652" t="s">
        <v>60</v>
      </c>
      <c r="E652" t="s">
        <v>14</v>
      </c>
      <c r="F652" t="s">
        <v>89</v>
      </c>
      <c r="G652">
        <v>0</v>
      </c>
      <c r="H652">
        <f t="shared" si="38"/>
        <v>-2.4146000000000001</v>
      </c>
      <c r="I652" s="2">
        <v>41</v>
      </c>
      <c r="J652">
        <f t="shared" si="37"/>
        <v>-98.99860000000001</v>
      </c>
      <c r="K652">
        <f t="shared" si="36"/>
        <v>0</v>
      </c>
    </row>
    <row r="653" spans="2:11" x14ac:dyDescent="0.25">
      <c r="B653" s="1">
        <v>45913</v>
      </c>
      <c r="C653" t="s">
        <v>60</v>
      </c>
      <c r="E653" t="s">
        <v>15</v>
      </c>
      <c r="F653" t="s">
        <v>89</v>
      </c>
      <c r="G653">
        <v>0</v>
      </c>
      <c r="H653">
        <f t="shared" si="38"/>
        <v>-2.4146000000000001</v>
      </c>
      <c r="I653" s="2">
        <v>41</v>
      </c>
      <c r="J653">
        <f t="shared" si="37"/>
        <v>-98.99860000000001</v>
      </c>
      <c r="K653">
        <f t="shared" si="36"/>
        <v>0</v>
      </c>
    </row>
    <row r="654" spans="2:11" x14ac:dyDescent="0.25">
      <c r="B654" s="1">
        <v>45913</v>
      </c>
      <c r="C654" t="s">
        <v>60</v>
      </c>
      <c r="E654" t="s">
        <v>61</v>
      </c>
      <c r="F654" t="s">
        <v>89</v>
      </c>
      <c r="G654">
        <v>0</v>
      </c>
      <c r="H654">
        <f t="shared" si="38"/>
        <v>-2.4146000000000001</v>
      </c>
      <c r="I654" s="2">
        <v>41</v>
      </c>
      <c r="J654">
        <f t="shared" si="37"/>
        <v>-98.99860000000001</v>
      </c>
      <c r="K654">
        <f t="shared" si="36"/>
        <v>0</v>
      </c>
    </row>
    <row r="655" spans="2:11" x14ac:dyDescent="0.25">
      <c r="B655" s="1">
        <v>45913</v>
      </c>
      <c r="C655" t="s">
        <v>60</v>
      </c>
      <c r="E655" t="s">
        <v>16</v>
      </c>
      <c r="F655" t="s">
        <v>89</v>
      </c>
      <c r="G655">
        <v>0</v>
      </c>
      <c r="H655">
        <f t="shared" si="38"/>
        <v>-2.4146000000000001</v>
      </c>
      <c r="I655" s="2">
        <v>41</v>
      </c>
      <c r="J655">
        <f t="shared" si="37"/>
        <v>-98.99860000000001</v>
      </c>
      <c r="K655">
        <f t="shared" si="36"/>
        <v>0</v>
      </c>
    </row>
    <row r="656" spans="2:11" x14ac:dyDescent="0.25">
      <c r="B656" s="1">
        <v>45913</v>
      </c>
      <c r="C656" t="s">
        <v>60</v>
      </c>
      <c r="E656" t="s">
        <v>17</v>
      </c>
      <c r="F656" t="s">
        <v>89</v>
      </c>
      <c r="G656">
        <v>0</v>
      </c>
      <c r="H656">
        <f t="shared" si="38"/>
        <v>-2.4146000000000001</v>
      </c>
      <c r="I656" s="2">
        <v>41</v>
      </c>
      <c r="J656">
        <f t="shared" si="37"/>
        <v>-98.99860000000001</v>
      </c>
      <c r="K656">
        <f t="shared" si="36"/>
        <v>0</v>
      </c>
    </row>
    <row r="657" spans="2:11" x14ac:dyDescent="0.25">
      <c r="B657" s="1">
        <v>45913</v>
      </c>
      <c r="C657" t="s">
        <v>60</v>
      </c>
      <c r="E657" t="s">
        <v>12</v>
      </c>
      <c r="F657" t="s">
        <v>89</v>
      </c>
      <c r="G657">
        <v>0</v>
      </c>
      <c r="H657">
        <f t="shared" si="38"/>
        <v>-2.4146000000000001</v>
      </c>
      <c r="I657" s="2">
        <v>41</v>
      </c>
      <c r="J657">
        <f t="shared" si="37"/>
        <v>-98.99860000000001</v>
      </c>
      <c r="K657">
        <f t="shared" si="36"/>
        <v>0</v>
      </c>
    </row>
    <row r="658" spans="2:11" x14ac:dyDescent="0.25">
      <c r="B658" s="1">
        <v>45913</v>
      </c>
      <c r="C658" t="s">
        <v>60</v>
      </c>
      <c r="E658" t="s">
        <v>62</v>
      </c>
      <c r="F658" t="s">
        <v>89</v>
      </c>
      <c r="G658">
        <v>0</v>
      </c>
      <c r="H658">
        <f t="shared" si="38"/>
        <v>-2.4146000000000001</v>
      </c>
      <c r="I658" s="2">
        <v>41</v>
      </c>
      <c r="J658">
        <f t="shared" si="37"/>
        <v>-98.99860000000001</v>
      </c>
      <c r="K658">
        <f t="shared" si="36"/>
        <v>0</v>
      </c>
    </row>
    <row r="659" spans="2:11" x14ac:dyDescent="0.25">
      <c r="B659" s="1">
        <v>45913</v>
      </c>
      <c r="C659" t="s">
        <v>60</v>
      </c>
      <c r="E659" t="s">
        <v>18</v>
      </c>
      <c r="F659" t="s">
        <v>89</v>
      </c>
      <c r="G659">
        <v>0</v>
      </c>
      <c r="H659">
        <f t="shared" si="38"/>
        <v>-2.4146000000000001</v>
      </c>
      <c r="I659" s="2">
        <v>41</v>
      </c>
      <c r="J659">
        <f t="shared" si="37"/>
        <v>-98.99860000000001</v>
      </c>
      <c r="K659">
        <f t="shared" si="36"/>
        <v>0</v>
      </c>
    </row>
    <row r="660" spans="2:11" x14ac:dyDescent="0.25">
      <c r="B660" s="1">
        <v>45913</v>
      </c>
      <c r="C660" t="s">
        <v>60</v>
      </c>
      <c r="E660" t="s">
        <v>19</v>
      </c>
      <c r="F660" t="s">
        <v>89</v>
      </c>
      <c r="G660">
        <v>0</v>
      </c>
      <c r="H660">
        <f t="shared" si="38"/>
        <v>-2.4146000000000001</v>
      </c>
      <c r="I660" s="2">
        <v>41</v>
      </c>
      <c r="J660">
        <f t="shared" si="37"/>
        <v>-98.99860000000001</v>
      </c>
      <c r="K660">
        <f t="shared" si="36"/>
        <v>0</v>
      </c>
    </row>
    <row r="661" spans="2:11" x14ac:dyDescent="0.25">
      <c r="B661" s="1">
        <v>45913</v>
      </c>
      <c r="C661" t="s">
        <v>60</v>
      </c>
      <c r="E661" t="s">
        <v>20</v>
      </c>
      <c r="F661" t="s">
        <v>89</v>
      </c>
      <c r="G661">
        <v>0</v>
      </c>
      <c r="H661">
        <f t="shared" si="38"/>
        <v>-2.4146000000000001</v>
      </c>
      <c r="I661" s="2">
        <v>41</v>
      </c>
      <c r="J661">
        <f t="shared" si="37"/>
        <v>-98.99860000000001</v>
      </c>
      <c r="K661">
        <f t="shared" si="36"/>
        <v>0</v>
      </c>
    </row>
    <row r="662" spans="2:11" x14ac:dyDescent="0.25">
      <c r="B662" s="1">
        <v>45913</v>
      </c>
      <c r="C662" t="s">
        <v>60</v>
      </c>
      <c r="E662" t="s">
        <v>63</v>
      </c>
      <c r="F662" t="s">
        <v>89</v>
      </c>
      <c r="G662">
        <v>0</v>
      </c>
      <c r="H662">
        <f t="shared" si="38"/>
        <v>-2.4146000000000001</v>
      </c>
      <c r="I662" s="2">
        <v>41</v>
      </c>
      <c r="J662">
        <f t="shared" si="37"/>
        <v>-98.99860000000001</v>
      </c>
      <c r="K662">
        <f t="shared" si="36"/>
        <v>0</v>
      </c>
    </row>
    <row r="663" spans="2:11" x14ac:dyDescent="0.25">
      <c r="B663" s="1">
        <v>45913</v>
      </c>
      <c r="C663" t="s">
        <v>60</v>
      </c>
      <c r="E663" t="s">
        <v>21</v>
      </c>
      <c r="F663" t="s">
        <v>89</v>
      </c>
      <c r="G663">
        <v>0</v>
      </c>
      <c r="H663">
        <f t="shared" si="38"/>
        <v>-2.4146000000000001</v>
      </c>
      <c r="I663" s="2">
        <v>41</v>
      </c>
      <c r="J663">
        <f t="shared" si="37"/>
        <v>-98.99860000000001</v>
      </c>
      <c r="K663">
        <f t="shared" si="36"/>
        <v>0</v>
      </c>
    </row>
    <row r="664" spans="2:11" x14ac:dyDescent="0.25">
      <c r="B664" s="1">
        <v>45913</v>
      </c>
      <c r="C664" t="s">
        <v>60</v>
      </c>
      <c r="E664" t="s">
        <v>22</v>
      </c>
      <c r="F664" t="s">
        <v>89</v>
      </c>
      <c r="G664">
        <v>0</v>
      </c>
      <c r="H664">
        <f t="shared" si="38"/>
        <v>-2.4146000000000001</v>
      </c>
      <c r="I664" s="2">
        <v>41</v>
      </c>
      <c r="J664">
        <f t="shared" si="37"/>
        <v>-98.99860000000001</v>
      </c>
      <c r="K664">
        <f t="shared" si="36"/>
        <v>0</v>
      </c>
    </row>
    <row r="665" spans="2:11" x14ac:dyDescent="0.25">
      <c r="B665" s="1">
        <v>45913</v>
      </c>
      <c r="C665" t="s">
        <v>60</v>
      </c>
      <c r="E665" t="s">
        <v>23</v>
      </c>
      <c r="F665" t="s">
        <v>89</v>
      </c>
      <c r="G665">
        <v>0</v>
      </c>
      <c r="H665">
        <f t="shared" si="38"/>
        <v>-2.4146000000000001</v>
      </c>
      <c r="I665" s="2">
        <v>41</v>
      </c>
      <c r="J665">
        <f t="shared" si="37"/>
        <v>-98.99860000000001</v>
      </c>
      <c r="K665">
        <f t="shared" si="36"/>
        <v>0</v>
      </c>
    </row>
    <row r="666" spans="2:11" x14ac:dyDescent="0.25">
      <c r="B666" s="1">
        <v>45913</v>
      </c>
      <c r="C666" t="s">
        <v>60</v>
      </c>
      <c r="E666" t="s">
        <v>64</v>
      </c>
      <c r="F666" t="s">
        <v>89</v>
      </c>
      <c r="G666">
        <v>0</v>
      </c>
      <c r="H666">
        <f t="shared" si="38"/>
        <v>-2.4146000000000001</v>
      </c>
      <c r="I666" s="2">
        <v>41</v>
      </c>
      <c r="J666">
        <f t="shared" si="37"/>
        <v>-98.99860000000001</v>
      </c>
      <c r="K666">
        <f t="shared" si="36"/>
        <v>0</v>
      </c>
    </row>
    <row r="667" spans="2:11" x14ac:dyDescent="0.25">
      <c r="B667" s="1">
        <v>45913</v>
      </c>
      <c r="C667" t="s">
        <v>60</v>
      </c>
      <c r="E667" t="s">
        <v>24</v>
      </c>
      <c r="F667" t="s">
        <v>89</v>
      </c>
      <c r="G667">
        <v>0</v>
      </c>
      <c r="H667">
        <f t="shared" si="38"/>
        <v>-2.4146000000000001</v>
      </c>
      <c r="I667" s="2">
        <v>41</v>
      </c>
      <c r="J667">
        <f t="shared" si="37"/>
        <v>-98.99860000000001</v>
      </c>
      <c r="K667">
        <f t="shared" si="36"/>
        <v>0</v>
      </c>
    </row>
    <row r="668" spans="2:11" x14ac:dyDescent="0.25">
      <c r="B668" s="1">
        <v>45913</v>
      </c>
      <c r="C668" t="s">
        <v>60</v>
      </c>
      <c r="E668" t="s">
        <v>25</v>
      </c>
      <c r="F668" t="s">
        <v>89</v>
      </c>
      <c r="G668">
        <v>0</v>
      </c>
      <c r="H668">
        <f t="shared" si="38"/>
        <v>-2.4146000000000001</v>
      </c>
      <c r="I668" s="2">
        <v>41</v>
      </c>
      <c r="J668">
        <f t="shared" si="37"/>
        <v>-98.99860000000001</v>
      </c>
      <c r="K668">
        <f t="shared" ref="K668:K731" si="39">MAX(J668,0)</f>
        <v>0</v>
      </c>
    </row>
    <row r="669" spans="2:11" x14ac:dyDescent="0.25">
      <c r="B669" s="1">
        <v>45913</v>
      </c>
      <c r="C669" t="s">
        <v>60</v>
      </c>
      <c r="E669" t="s">
        <v>26</v>
      </c>
      <c r="F669" t="s">
        <v>89</v>
      </c>
      <c r="G669">
        <v>0</v>
      </c>
      <c r="H669">
        <f t="shared" si="38"/>
        <v>-2.4146000000000001</v>
      </c>
      <c r="I669" s="2">
        <v>41</v>
      </c>
      <c r="J669">
        <f t="shared" si="37"/>
        <v>-98.99860000000001</v>
      </c>
      <c r="K669">
        <f t="shared" si="39"/>
        <v>0</v>
      </c>
    </row>
    <row r="670" spans="2:11" x14ac:dyDescent="0.25">
      <c r="B670" s="1">
        <v>45913</v>
      </c>
      <c r="C670" t="s">
        <v>60</v>
      </c>
      <c r="E670" t="s">
        <v>65</v>
      </c>
      <c r="F670" t="s">
        <v>89</v>
      </c>
      <c r="G670">
        <v>0</v>
      </c>
      <c r="H670">
        <f t="shared" si="38"/>
        <v>-2.4146000000000001</v>
      </c>
      <c r="I670" s="2">
        <v>41</v>
      </c>
      <c r="J670">
        <f t="shared" si="37"/>
        <v>-98.99860000000001</v>
      </c>
      <c r="K670">
        <f t="shared" si="39"/>
        <v>0</v>
      </c>
    </row>
    <row r="671" spans="2:11" x14ac:dyDescent="0.25">
      <c r="B671" s="1">
        <v>45913</v>
      </c>
      <c r="C671" t="s">
        <v>60</v>
      </c>
      <c r="E671" t="s">
        <v>27</v>
      </c>
      <c r="F671" t="s">
        <v>89</v>
      </c>
      <c r="G671">
        <v>1.2E-2</v>
      </c>
      <c r="H671">
        <f t="shared" si="38"/>
        <v>1.7190400000000006</v>
      </c>
      <c r="I671" s="2">
        <v>41</v>
      </c>
      <c r="J671">
        <f t="shared" si="37"/>
        <v>70.480640000000022</v>
      </c>
      <c r="K671">
        <f t="shared" si="39"/>
        <v>70.480640000000022</v>
      </c>
    </row>
    <row r="672" spans="2:11" x14ac:dyDescent="0.25">
      <c r="B672" s="1">
        <v>45913</v>
      </c>
      <c r="C672" t="s">
        <v>60</v>
      </c>
      <c r="E672" t="s">
        <v>28</v>
      </c>
      <c r="F672" t="s">
        <v>89</v>
      </c>
      <c r="G672">
        <v>0</v>
      </c>
      <c r="H672">
        <f t="shared" si="38"/>
        <v>-2.4146000000000001</v>
      </c>
      <c r="I672" s="2">
        <v>41</v>
      </c>
      <c r="J672">
        <f t="shared" si="37"/>
        <v>-98.99860000000001</v>
      </c>
      <c r="K672">
        <f t="shared" si="39"/>
        <v>0</v>
      </c>
    </row>
    <row r="673" spans="2:11" x14ac:dyDescent="0.25">
      <c r="B673" s="1">
        <v>45913</v>
      </c>
      <c r="C673" t="s">
        <v>60</v>
      </c>
      <c r="E673" t="s">
        <v>29</v>
      </c>
      <c r="F673" t="s">
        <v>89</v>
      </c>
      <c r="G673">
        <v>0</v>
      </c>
      <c r="H673">
        <f t="shared" si="38"/>
        <v>-2.4146000000000001</v>
      </c>
      <c r="I673" s="2">
        <v>41</v>
      </c>
      <c r="J673">
        <f t="shared" si="37"/>
        <v>-98.99860000000001</v>
      </c>
      <c r="K673">
        <f t="shared" si="39"/>
        <v>0</v>
      </c>
    </row>
    <row r="674" spans="2:11" x14ac:dyDescent="0.25">
      <c r="B674" s="1">
        <v>45913</v>
      </c>
      <c r="C674" t="s">
        <v>60</v>
      </c>
      <c r="E674" t="s">
        <v>66</v>
      </c>
      <c r="F674" t="s">
        <v>89</v>
      </c>
      <c r="G674">
        <v>0</v>
      </c>
      <c r="H674">
        <f t="shared" si="38"/>
        <v>-2.4146000000000001</v>
      </c>
      <c r="I674" s="2">
        <v>41</v>
      </c>
      <c r="J674">
        <f t="shared" si="37"/>
        <v>-98.99860000000001</v>
      </c>
      <c r="K674">
        <f t="shared" si="39"/>
        <v>0</v>
      </c>
    </row>
    <row r="675" spans="2:11" x14ac:dyDescent="0.25">
      <c r="B675" s="1">
        <v>45913</v>
      </c>
      <c r="C675" t="s">
        <v>60</v>
      </c>
      <c r="D675" t="s">
        <v>67</v>
      </c>
      <c r="E675">
        <v>1</v>
      </c>
      <c r="F675" t="s">
        <v>89</v>
      </c>
      <c r="G675">
        <v>0</v>
      </c>
      <c r="H675">
        <f t="shared" si="38"/>
        <v>-2.4146000000000001</v>
      </c>
      <c r="I675" s="2">
        <v>1</v>
      </c>
      <c r="J675">
        <f t="shared" si="37"/>
        <v>-2.4146000000000001</v>
      </c>
      <c r="K675">
        <f t="shared" si="39"/>
        <v>0</v>
      </c>
    </row>
    <row r="676" spans="2:11" x14ac:dyDescent="0.25">
      <c r="B676" s="1">
        <v>45913</v>
      </c>
      <c r="C676" t="s">
        <v>60</v>
      </c>
      <c r="D676" t="s">
        <v>67</v>
      </c>
      <c r="E676">
        <v>2</v>
      </c>
      <c r="F676" t="s">
        <v>89</v>
      </c>
      <c r="G676">
        <v>0</v>
      </c>
      <c r="H676">
        <f t="shared" si="38"/>
        <v>-2.4146000000000001</v>
      </c>
      <c r="I676" s="2">
        <v>1</v>
      </c>
      <c r="J676">
        <f t="shared" si="37"/>
        <v>-2.4146000000000001</v>
      </c>
      <c r="K676">
        <f t="shared" si="39"/>
        <v>0</v>
      </c>
    </row>
    <row r="677" spans="2:11" x14ac:dyDescent="0.25">
      <c r="B677" s="1">
        <v>45913</v>
      </c>
      <c r="C677" t="s">
        <v>60</v>
      </c>
      <c r="D677" t="s">
        <v>67</v>
      </c>
      <c r="E677">
        <v>3</v>
      </c>
      <c r="F677" t="s">
        <v>89</v>
      </c>
      <c r="G677">
        <v>0</v>
      </c>
      <c r="H677">
        <f t="shared" si="38"/>
        <v>-2.4146000000000001</v>
      </c>
      <c r="I677" s="2">
        <v>1</v>
      </c>
      <c r="J677">
        <f t="shared" si="37"/>
        <v>-2.4146000000000001</v>
      </c>
      <c r="K677">
        <f t="shared" si="39"/>
        <v>0</v>
      </c>
    </row>
    <row r="678" spans="2:11" x14ac:dyDescent="0.25">
      <c r="B678" s="1">
        <v>45912</v>
      </c>
      <c r="C678" t="s">
        <v>70</v>
      </c>
      <c r="E678" t="s">
        <v>13</v>
      </c>
      <c r="F678" t="s">
        <v>89</v>
      </c>
      <c r="G678">
        <v>0</v>
      </c>
      <c r="H678">
        <f t="shared" si="38"/>
        <v>-2.4146000000000001</v>
      </c>
      <c r="I678" s="2">
        <v>41</v>
      </c>
      <c r="J678">
        <f t="shared" si="37"/>
        <v>-98.99860000000001</v>
      </c>
      <c r="K678">
        <f t="shared" si="39"/>
        <v>0</v>
      </c>
    </row>
    <row r="679" spans="2:11" x14ac:dyDescent="0.25">
      <c r="B679" s="1">
        <v>45912</v>
      </c>
      <c r="C679" t="s">
        <v>70</v>
      </c>
      <c r="E679" t="s">
        <v>14</v>
      </c>
      <c r="F679" t="s">
        <v>89</v>
      </c>
      <c r="G679">
        <v>0</v>
      </c>
      <c r="H679">
        <f t="shared" si="38"/>
        <v>-2.4146000000000001</v>
      </c>
      <c r="I679" s="2">
        <v>41</v>
      </c>
      <c r="J679">
        <f t="shared" si="37"/>
        <v>-98.99860000000001</v>
      </c>
      <c r="K679">
        <f t="shared" si="39"/>
        <v>0</v>
      </c>
    </row>
    <row r="680" spans="2:11" x14ac:dyDescent="0.25">
      <c r="B680" s="1">
        <v>45912</v>
      </c>
      <c r="C680" t="s">
        <v>70</v>
      </c>
      <c r="E680" t="s">
        <v>15</v>
      </c>
      <c r="F680" t="s">
        <v>89</v>
      </c>
      <c r="G680">
        <v>0</v>
      </c>
      <c r="H680">
        <f t="shared" si="38"/>
        <v>-2.4146000000000001</v>
      </c>
      <c r="I680" s="2">
        <v>41</v>
      </c>
      <c r="J680">
        <f t="shared" si="37"/>
        <v>-98.99860000000001</v>
      </c>
      <c r="K680">
        <f t="shared" si="39"/>
        <v>0</v>
      </c>
    </row>
    <row r="681" spans="2:11" x14ac:dyDescent="0.25">
      <c r="B681" s="1">
        <v>45912</v>
      </c>
      <c r="C681" t="s">
        <v>70</v>
      </c>
      <c r="E681" t="s">
        <v>61</v>
      </c>
      <c r="F681" t="s">
        <v>89</v>
      </c>
      <c r="G681">
        <v>0</v>
      </c>
      <c r="H681">
        <f t="shared" si="38"/>
        <v>-2.4146000000000001</v>
      </c>
      <c r="I681" s="2">
        <v>41</v>
      </c>
      <c r="J681">
        <f t="shared" si="37"/>
        <v>-98.99860000000001</v>
      </c>
      <c r="K681">
        <f t="shared" si="39"/>
        <v>0</v>
      </c>
    </row>
    <row r="682" spans="2:11" x14ac:dyDescent="0.25">
      <c r="B682" s="1">
        <v>45912</v>
      </c>
      <c r="C682" t="s">
        <v>70</v>
      </c>
      <c r="E682" t="s">
        <v>16</v>
      </c>
      <c r="F682" t="s">
        <v>89</v>
      </c>
      <c r="G682">
        <v>0</v>
      </c>
      <c r="H682">
        <f t="shared" si="38"/>
        <v>-2.4146000000000001</v>
      </c>
      <c r="I682" s="2">
        <v>41</v>
      </c>
      <c r="J682">
        <f t="shared" si="37"/>
        <v>-98.99860000000001</v>
      </c>
      <c r="K682">
        <f t="shared" si="39"/>
        <v>0</v>
      </c>
    </row>
    <row r="683" spans="2:11" x14ac:dyDescent="0.25">
      <c r="B683" s="1">
        <v>45912</v>
      </c>
      <c r="C683" t="s">
        <v>70</v>
      </c>
      <c r="E683" t="s">
        <v>17</v>
      </c>
      <c r="F683" t="s">
        <v>89</v>
      </c>
      <c r="G683">
        <v>0</v>
      </c>
      <c r="H683">
        <f t="shared" si="38"/>
        <v>-2.4146000000000001</v>
      </c>
      <c r="I683" s="2">
        <v>41</v>
      </c>
      <c r="J683">
        <f t="shared" si="37"/>
        <v>-98.99860000000001</v>
      </c>
      <c r="K683">
        <f t="shared" si="39"/>
        <v>0</v>
      </c>
    </row>
    <row r="684" spans="2:11" x14ac:dyDescent="0.25">
      <c r="B684" s="1">
        <v>45912</v>
      </c>
      <c r="C684" t="s">
        <v>70</v>
      </c>
      <c r="E684" t="s">
        <v>12</v>
      </c>
      <c r="F684" t="s">
        <v>89</v>
      </c>
      <c r="G684">
        <v>0</v>
      </c>
      <c r="H684">
        <f t="shared" si="38"/>
        <v>-2.4146000000000001</v>
      </c>
      <c r="I684" s="2">
        <v>41</v>
      </c>
      <c r="J684">
        <f t="shared" si="37"/>
        <v>-98.99860000000001</v>
      </c>
      <c r="K684">
        <f t="shared" si="39"/>
        <v>0</v>
      </c>
    </row>
    <row r="685" spans="2:11" x14ac:dyDescent="0.25">
      <c r="B685" s="1">
        <v>45912</v>
      </c>
      <c r="C685" t="s">
        <v>70</v>
      </c>
      <c r="E685" t="s">
        <v>62</v>
      </c>
      <c r="F685" t="s">
        <v>89</v>
      </c>
      <c r="G685">
        <v>0</v>
      </c>
      <c r="H685">
        <f t="shared" si="38"/>
        <v>-2.4146000000000001</v>
      </c>
      <c r="I685" s="2">
        <v>41</v>
      </c>
      <c r="J685">
        <f t="shared" si="37"/>
        <v>-98.99860000000001</v>
      </c>
      <c r="K685">
        <f t="shared" si="39"/>
        <v>0</v>
      </c>
    </row>
    <row r="686" spans="2:11" x14ac:dyDescent="0.25">
      <c r="B686" s="1">
        <v>45912</v>
      </c>
      <c r="C686" t="s">
        <v>70</v>
      </c>
      <c r="E686" t="s">
        <v>18</v>
      </c>
      <c r="F686" t="s">
        <v>89</v>
      </c>
      <c r="G686">
        <v>0</v>
      </c>
      <c r="H686">
        <f t="shared" si="38"/>
        <v>-2.4146000000000001</v>
      </c>
      <c r="I686" s="2">
        <v>41</v>
      </c>
      <c r="J686">
        <f t="shared" si="37"/>
        <v>-98.99860000000001</v>
      </c>
      <c r="K686">
        <f t="shared" si="39"/>
        <v>0</v>
      </c>
    </row>
    <row r="687" spans="2:11" x14ac:dyDescent="0.25">
      <c r="B687" s="1">
        <v>45912</v>
      </c>
      <c r="C687" t="s">
        <v>70</v>
      </c>
      <c r="E687" t="s">
        <v>19</v>
      </c>
      <c r="F687" t="s">
        <v>89</v>
      </c>
      <c r="G687">
        <v>0</v>
      </c>
      <c r="H687">
        <f t="shared" si="38"/>
        <v>-2.4146000000000001</v>
      </c>
      <c r="I687" s="2">
        <v>41</v>
      </c>
      <c r="J687">
        <f t="shared" si="37"/>
        <v>-98.99860000000001</v>
      </c>
      <c r="K687">
        <f t="shared" si="39"/>
        <v>0</v>
      </c>
    </row>
    <row r="688" spans="2:11" x14ac:dyDescent="0.25">
      <c r="B688" s="1">
        <v>45912</v>
      </c>
      <c r="C688" t="s">
        <v>70</v>
      </c>
      <c r="E688" t="s">
        <v>20</v>
      </c>
      <c r="F688" t="s">
        <v>89</v>
      </c>
      <c r="G688">
        <v>0</v>
      </c>
      <c r="H688">
        <f t="shared" si="38"/>
        <v>-2.4146000000000001</v>
      </c>
      <c r="I688" s="2">
        <v>41</v>
      </c>
      <c r="J688">
        <f t="shared" ref="J688:J731" si="40">H688*I688</f>
        <v>-98.99860000000001</v>
      </c>
      <c r="K688">
        <f t="shared" si="39"/>
        <v>0</v>
      </c>
    </row>
    <row r="689" spans="2:11" x14ac:dyDescent="0.25">
      <c r="B689" s="1">
        <v>45912</v>
      </c>
      <c r="C689" t="s">
        <v>70</v>
      </c>
      <c r="E689" t="s">
        <v>63</v>
      </c>
      <c r="F689" t="s">
        <v>89</v>
      </c>
      <c r="G689">
        <v>0</v>
      </c>
      <c r="H689">
        <f t="shared" si="38"/>
        <v>-2.4146000000000001</v>
      </c>
      <c r="I689" s="2">
        <v>41</v>
      </c>
      <c r="J689">
        <f t="shared" si="40"/>
        <v>-98.99860000000001</v>
      </c>
      <c r="K689">
        <f t="shared" si="39"/>
        <v>0</v>
      </c>
    </row>
    <row r="690" spans="2:11" x14ac:dyDescent="0.25">
      <c r="B690" s="1">
        <v>45912</v>
      </c>
      <c r="C690" t="s">
        <v>70</v>
      </c>
      <c r="E690" t="s">
        <v>21</v>
      </c>
      <c r="F690" t="s">
        <v>89</v>
      </c>
      <c r="G690">
        <v>0</v>
      </c>
      <c r="H690">
        <f t="shared" ref="H690:H731" si="41">(344.47*G690)-2.4146</f>
        <v>-2.4146000000000001</v>
      </c>
      <c r="I690" s="2">
        <v>41</v>
      </c>
      <c r="J690">
        <f t="shared" si="40"/>
        <v>-98.99860000000001</v>
      </c>
      <c r="K690">
        <f t="shared" si="39"/>
        <v>0</v>
      </c>
    </row>
    <row r="691" spans="2:11" x14ac:dyDescent="0.25">
      <c r="B691" s="1">
        <v>45912</v>
      </c>
      <c r="C691" t="s">
        <v>70</v>
      </c>
      <c r="E691" t="s">
        <v>22</v>
      </c>
      <c r="F691" t="s">
        <v>89</v>
      </c>
      <c r="G691">
        <v>0</v>
      </c>
      <c r="H691">
        <f t="shared" si="41"/>
        <v>-2.4146000000000001</v>
      </c>
      <c r="I691" s="2">
        <v>41</v>
      </c>
      <c r="J691">
        <f t="shared" si="40"/>
        <v>-98.99860000000001</v>
      </c>
      <c r="K691">
        <f t="shared" si="39"/>
        <v>0</v>
      </c>
    </row>
    <row r="692" spans="2:11" x14ac:dyDescent="0.25">
      <c r="B692" s="1">
        <v>45912</v>
      </c>
      <c r="C692" t="s">
        <v>70</v>
      </c>
      <c r="E692" t="s">
        <v>23</v>
      </c>
      <c r="F692" t="s">
        <v>89</v>
      </c>
      <c r="G692">
        <v>0</v>
      </c>
      <c r="H692">
        <f t="shared" si="41"/>
        <v>-2.4146000000000001</v>
      </c>
      <c r="I692" s="2">
        <v>41</v>
      </c>
      <c r="J692">
        <f t="shared" si="40"/>
        <v>-98.99860000000001</v>
      </c>
      <c r="K692">
        <f t="shared" si="39"/>
        <v>0</v>
      </c>
    </row>
    <row r="693" spans="2:11" x14ac:dyDescent="0.25">
      <c r="B693" s="1">
        <v>45912</v>
      </c>
      <c r="C693" t="s">
        <v>70</v>
      </c>
      <c r="E693" t="s">
        <v>64</v>
      </c>
      <c r="F693" t="s">
        <v>89</v>
      </c>
      <c r="G693">
        <v>0</v>
      </c>
      <c r="H693">
        <f t="shared" si="41"/>
        <v>-2.4146000000000001</v>
      </c>
      <c r="I693" s="2">
        <v>41</v>
      </c>
      <c r="J693">
        <f t="shared" si="40"/>
        <v>-98.99860000000001</v>
      </c>
      <c r="K693">
        <f t="shared" si="39"/>
        <v>0</v>
      </c>
    </row>
    <row r="694" spans="2:11" x14ac:dyDescent="0.25">
      <c r="B694" s="1">
        <v>45912</v>
      </c>
      <c r="C694" t="s">
        <v>70</v>
      </c>
      <c r="E694" t="s">
        <v>24</v>
      </c>
      <c r="F694" t="s">
        <v>89</v>
      </c>
      <c r="G694">
        <v>0</v>
      </c>
      <c r="H694">
        <f t="shared" si="41"/>
        <v>-2.4146000000000001</v>
      </c>
      <c r="I694" s="2">
        <v>41</v>
      </c>
      <c r="J694">
        <f t="shared" si="40"/>
        <v>-98.99860000000001</v>
      </c>
      <c r="K694">
        <f t="shared" si="39"/>
        <v>0</v>
      </c>
    </row>
    <row r="695" spans="2:11" x14ac:dyDescent="0.25">
      <c r="B695" s="1">
        <v>45912</v>
      </c>
      <c r="C695" t="s">
        <v>70</v>
      </c>
      <c r="E695" t="s">
        <v>25</v>
      </c>
      <c r="F695" t="s">
        <v>89</v>
      </c>
      <c r="G695">
        <v>0.108</v>
      </c>
      <c r="H695">
        <f t="shared" si="41"/>
        <v>34.788160000000005</v>
      </c>
      <c r="I695" s="2">
        <v>41</v>
      </c>
      <c r="J695">
        <f t="shared" si="40"/>
        <v>1426.3145600000003</v>
      </c>
      <c r="K695">
        <f t="shared" si="39"/>
        <v>1426.3145600000003</v>
      </c>
    </row>
    <row r="696" spans="2:11" x14ac:dyDescent="0.25">
      <c r="B696" s="1">
        <v>45912</v>
      </c>
      <c r="C696" t="s">
        <v>70</v>
      </c>
      <c r="E696" t="s">
        <v>26</v>
      </c>
      <c r="F696" t="s">
        <v>89</v>
      </c>
      <c r="G696">
        <v>0</v>
      </c>
      <c r="H696">
        <f t="shared" si="41"/>
        <v>-2.4146000000000001</v>
      </c>
      <c r="I696" s="2">
        <v>41</v>
      </c>
      <c r="J696">
        <f t="shared" si="40"/>
        <v>-98.99860000000001</v>
      </c>
      <c r="K696">
        <f t="shared" si="39"/>
        <v>0</v>
      </c>
    </row>
    <row r="697" spans="2:11" x14ac:dyDescent="0.25">
      <c r="B697" s="1">
        <v>45912</v>
      </c>
      <c r="C697" t="s">
        <v>70</v>
      </c>
      <c r="E697" t="s">
        <v>65</v>
      </c>
      <c r="F697" t="s">
        <v>89</v>
      </c>
      <c r="G697">
        <v>0</v>
      </c>
      <c r="H697">
        <f t="shared" si="41"/>
        <v>-2.4146000000000001</v>
      </c>
      <c r="I697" s="2">
        <v>41</v>
      </c>
      <c r="J697">
        <f t="shared" si="40"/>
        <v>-98.99860000000001</v>
      </c>
      <c r="K697">
        <f t="shared" si="39"/>
        <v>0</v>
      </c>
    </row>
    <row r="698" spans="2:11" x14ac:dyDescent="0.25">
      <c r="B698" s="1">
        <v>45912</v>
      </c>
      <c r="C698" t="s">
        <v>70</v>
      </c>
      <c r="E698" t="s">
        <v>27</v>
      </c>
      <c r="F698" t="s">
        <v>89</v>
      </c>
      <c r="G698">
        <v>0</v>
      </c>
      <c r="H698">
        <f t="shared" si="41"/>
        <v>-2.4146000000000001</v>
      </c>
      <c r="I698" s="2">
        <v>41</v>
      </c>
      <c r="J698">
        <f t="shared" si="40"/>
        <v>-98.99860000000001</v>
      </c>
      <c r="K698">
        <f t="shared" si="39"/>
        <v>0</v>
      </c>
    </row>
    <row r="699" spans="2:11" x14ac:dyDescent="0.25">
      <c r="B699" s="1">
        <v>45912</v>
      </c>
      <c r="C699" t="s">
        <v>70</v>
      </c>
      <c r="E699" t="s">
        <v>28</v>
      </c>
      <c r="F699" t="s">
        <v>89</v>
      </c>
      <c r="G699">
        <v>0</v>
      </c>
      <c r="H699">
        <f t="shared" si="41"/>
        <v>-2.4146000000000001</v>
      </c>
      <c r="I699" s="2">
        <v>41</v>
      </c>
      <c r="J699">
        <f t="shared" si="40"/>
        <v>-98.99860000000001</v>
      </c>
      <c r="K699">
        <f t="shared" si="39"/>
        <v>0</v>
      </c>
    </row>
    <row r="700" spans="2:11" x14ac:dyDescent="0.25">
      <c r="B700" s="1">
        <v>45912</v>
      </c>
      <c r="C700" t="s">
        <v>70</v>
      </c>
      <c r="E700" t="s">
        <v>29</v>
      </c>
      <c r="F700" t="s">
        <v>89</v>
      </c>
      <c r="G700">
        <v>0</v>
      </c>
      <c r="H700">
        <f t="shared" si="41"/>
        <v>-2.4146000000000001</v>
      </c>
      <c r="I700" s="2">
        <v>41</v>
      </c>
      <c r="J700">
        <f t="shared" si="40"/>
        <v>-98.99860000000001</v>
      </c>
      <c r="K700">
        <f t="shared" si="39"/>
        <v>0</v>
      </c>
    </row>
    <row r="701" spans="2:11" x14ac:dyDescent="0.25">
      <c r="B701" s="1">
        <v>45912</v>
      </c>
      <c r="C701" t="s">
        <v>70</v>
      </c>
      <c r="E701" t="s">
        <v>66</v>
      </c>
      <c r="F701" t="s">
        <v>89</v>
      </c>
      <c r="G701">
        <v>0</v>
      </c>
      <c r="H701">
        <f t="shared" si="41"/>
        <v>-2.4146000000000001</v>
      </c>
      <c r="I701" s="2">
        <v>41</v>
      </c>
      <c r="J701">
        <f t="shared" si="40"/>
        <v>-98.99860000000001</v>
      </c>
      <c r="K701">
        <f t="shared" si="39"/>
        <v>0</v>
      </c>
    </row>
    <row r="702" spans="2:11" x14ac:dyDescent="0.25">
      <c r="B702" s="1">
        <v>45912</v>
      </c>
      <c r="C702" t="s">
        <v>70</v>
      </c>
      <c r="D702" t="s">
        <v>67</v>
      </c>
      <c r="E702">
        <v>1</v>
      </c>
      <c r="F702" t="s">
        <v>89</v>
      </c>
      <c r="G702">
        <v>0</v>
      </c>
      <c r="H702">
        <f t="shared" si="41"/>
        <v>-2.4146000000000001</v>
      </c>
      <c r="I702" s="2">
        <v>1</v>
      </c>
      <c r="J702">
        <f t="shared" si="40"/>
        <v>-2.4146000000000001</v>
      </c>
      <c r="K702">
        <f t="shared" si="39"/>
        <v>0</v>
      </c>
    </row>
    <row r="703" spans="2:11" x14ac:dyDescent="0.25">
      <c r="B703" s="1">
        <v>45912</v>
      </c>
      <c r="C703" t="s">
        <v>70</v>
      </c>
      <c r="D703" t="s">
        <v>67</v>
      </c>
      <c r="E703">
        <v>2</v>
      </c>
      <c r="F703" t="s">
        <v>89</v>
      </c>
      <c r="G703">
        <v>0</v>
      </c>
      <c r="H703">
        <f t="shared" si="41"/>
        <v>-2.4146000000000001</v>
      </c>
      <c r="I703" s="2">
        <v>1</v>
      </c>
      <c r="J703">
        <f t="shared" si="40"/>
        <v>-2.4146000000000001</v>
      </c>
      <c r="K703">
        <f t="shared" si="39"/>
        <v>0</v>
      </c>
    </row>
    <row r="704" spans="2:11" x14ac:dyDescent="0.25">
      <c r="B704" s="1">
        <v>45912</v>
      </c>
      <c r="C704" t="s">
        <v>70</v>
      </c>
      <c r="D704" t="s">
        <v>67</v>
      </c>
      <c r="E704">
        <v>3</v>
      </c>
      <c r="F704" t="s">
        <v>89</v>
      </c>
      <c r="G704">
        <v>0</v>
      </c>
      <c r="H704">
        <f t="shared" si="41"/>
        <v>-2.4146000000000001</v>
      </c>
      <c r="I704" s="2">
        <v>1</v>
      </c>
      <c r="J704">
        <f t="shared" si="40"/>
        <v>-2.4146000000000001</v>
      </c>
      <c r="K704">
        <f t="shared" si="39"/>
        <v>0</v>
      </c>
    </row>
    <row r="705" spans="2:11" x14ac:dyDescent="0.25">
      <c r="B705" s="1">
        <v>45912</v>
      </c>
      <c r="C705" t="s">
        <v>72</v>
      </c>
      <c r="E705" t="s">
        <v>13</v>
      </c>
      <c r="F705" t="s">
        <v>89</v>
      </c>
      <c r="G705">
        <v>0</v>
      </c>
      <c r="H705">
        <f t="shared" si="41"/>
        <v>-2.4146000000000001</v>
      </c>
      <c r="I705" s="2">
        <v>41</v>
      </c>
      <c r="J705">
        <f t="shared" si="40"/>
        <v>-98.99860000000001</v>
      </c>
      <c r="K705">
        <f t="shared" si="39"/>
        <v>0</v>
      </c>
    </row>
    <row r="706" spans="2:11" x14ac:dyDescent="0.25">
      <c r="B706" s="1">
        <v>45912</v>
      </c>
      <c r="C706" t="s">
        <v>72</v>
      </c>
      <c r="E706" t="s">
        <v>14</v>
      </c>
      <c r="F706" t="s">
        <v>89</v>
      </c>
      <c r="G706">
        <v>0</v>
      </c>
      <c r="H706">
        <f t="shared" si="41"/>
        <v>-2.4146000000000001</v>
      </c>
      <c r="I706" s="2">
        <v>41</v>
      </c>
      <c r="J706">
        <f t="shared" si="40"/>
        <v>-98.99860000000001</v>
      </c>
      <c r="K706">
        <f t="shared" si="39"/>
        <v>0</v>
      </c>
    </row>
    <row r="707" spans="2:11" x14ac:dyDescent="0.25">
      <c r="B707" s="1">
        <v>45912</v>
      </c>
      <c r="C707" t="s">
        <v>72</v>
      </c>
      <c r="E707" t="s">
        <v>15</v>
      </c>
      <c r="F707" t="s">
        <v>89</v>
      </c>
      <c r="G707">
        <v>0</v>
      </c>
      <c r="H707">
        <f t="shared" si="41"/>
        <v>-2.4146000000000001</v>
      </c>
      <c r="I707" s="2">
        <v>41</v>
      </c>
      <c r="J707">
        <f t="shared" si="40"/>
        <v>-98.99860000000001</v>
      </c>
      <c r="K707">
        <f t="shared" si="39"/>
        <v>0</v>
      </c>
    </row>
    <row r="708" spans="2:11" x14ac:dyDescent="0.25">
      <c r="B708" s="1">
        <v>45912</v>
      </c>
      <c r="C708" t="s">
        <v>72</v>
      </c>
      <c r="E708" t="s">
        <v>61</v>
      </c>
      <c r="F708" t="s">
        <v>89</v>
      </c>
      <c r="G708">
        <v>0</v>
      </c>
      <c r="H708">
        <f t="shared" si="41"/>
        <v>-2.4146000000000001</v>
      </c>
      <c r="I708" s="2">
        <v>41</v>
      </c>
      <c r="J708">
        <f t="shared" si="40"/>
        <v>-98.99860000000001</v>
      </c>
      <c r="K708">
        <f t="shared" si="39"/>
        <v>0</v>
      </c>
    </row>
    <row r="709" spans="2:11" x14ac:dyDescent="0.25">
      <c r="B709" s="1">
        <v>45912</v>
      </c>
      <c r="C709" t="s">
        <v>72</v>
      </c>
      <c r="E709" t="s">
        <v>16</v>
      </c>
      <c r="F709" t="s">
        <v>89</v>
      </c>
      <c r="G709">
        <v>0</v>
      </c>
      <c r="H709">
        <f t="shared" si="41"/>
        <v>-2.4146000000000001</v>
      </c>
      <c r="I709" s="2">
        <v>41</v>
      </c>
      <c r="J709">
        <f t="shared" si="40"/>
        <v>-98.99860000000001</v>
      </c>
      <c r="K709">
        <f t="shared" si="39"/>
        <v>0</v>
      </c>
    </row>
    <row r="710" spans="2:11" x14ac:dyDescent="0.25">
      <c r="B710" s="1">
        <v>45912</v>
      </c>
      <c r="C710" t="s">
        <v>72</v>
      </c>
      <c r="E710" t="s">
        <v>17</v>
      </c>
      <c r="F710" t="s">
        <v>89</v>
      </c>
      <c r="G710">
        <v>0</v>
      </c>
      <c r="H710">
        <f t="shared" si="41"/>
        <v>-2.4146000000000001</v>
      </c>
      <c r="I710" s="2">
        <v>41</v>
      </c>
      <c r="J710">
        <f t="shared" si="40"/>
        <v>-98.99860000000001</v>
      </c>
      <c r="K710">
        <f t="shared" si="39"/>
        <v>0</v>
      </c>
    </row>
    <row r="711" spans="2:11" x14ac:dyDescent="0.25">
      <c r="B711" s="1">
        <v>45912</v>
      </c>
      <c r="C711" t="s">
        <v>72</v>
      </c>
      <c r="E711" t="s">
        <v>12</v>
      </c>
      <c r="F711" t="s">
        <v>89</v>
      </c>
      <c r="G711">
        <v>0</v>
      </c>
      <c r="H711">
        <f t="shared" si="41"/>
        <v>-2.4146000000000001</v>
      </c>
      <c r="I711" s="2">
        <v>41</v>
      </c>
      <c r="J711">
        <f t="shared" si="40"/>
        <v>-98.99860000000001</v>
      </c>
      <c r="K711">
        <f t="shared" si="39"/>
        <v>0</v>
      </c>
    </row>
    <row r="712" spans="2:11" x14ac:dyDescent="0.25">
      <c r="B712" s="1">
        <v>45912</v>
      </c>
      <c r="C712" t="s">
        <v>72</v>
      </c>
      <c r="E712" t="s">
        <v>62</v>
      </c>
      <c r="F712" t="s">
        <v>89</v>
      </c>
      <c r="G712">
        <v>0</v>
      </c>
      <c r="H712">
        <f t="shared" si="41"/>
        <v>-2.4146000000000001</v>
      </c>
      <c r="I712" s="2">
        <v>41</v>
      </c>
      <c r="J712">
        <f t="shared" si="40"/>
        <v>-98.99860000000001</v>
      </c>
      <c r="K712">
        <f t="shared" si="39"/>
        <v>0</v>
      </c>
    </row>
    <row r="713" spans="2:11" x14ac:dyDescent="0.25">
      <c r="B713" s="1">
        <v>45912</v>
      </c>
      <c r="C713" t="s">
        <v>72</v>
      </c>
      <c r="E713" t="s">
        <v>18</v>
      </c>
      <c r="F713" t="s">
        <v>89</v>
      </c>
      <c r="G713">
        <v>0</v>
      </c>
      <c r="H713">
        <f t="shared" si="41"/>
        <v>-2.4146000000000001</v>
      </c>
      <c r="I713" s="2">
        <v>41</v>
      </c>
      <c r="J713">
        <f t="shared" si="40"/>
        <v>-98.99860000000001</v>
      </c>
      <c r="K713">
        <f t="shared" si="39"/>
        <v>0</v>
      </c>
    </row>
    <row r="714" spans="2:11" x14ac:dyDescent="0.25">
      <c r="B714" s="1">
        <v>45912</v>
      </c>
      <c r="C714" t="s">
        <v>72</v>
      </c>
      <c r="E714" t="s">
        <v>19</v>
      </c>
      <c r="F714" t="s">
        <v>89</v>
      </c>
      <c r="G714">
        <v>0</v>
      </c>
      <c r="H714">
        <f t="shared" si="41"/>
        <v>-2.4146000000000001</v>
      </c>
      <c r="I714" s="2">
        <v>41</v>
      </c>
      <c r="J714">
        <f t="shared" si="40"/>
        <v>-98.99860000000001</v>
      </c>
      <c r="K714">
        <f t="shared" si="39"/>
        <v>0</v>
      </c>
    </row>
    <row r="715" spans="2:11" x14ac:dyDescent="0.25">
      <c r="B715" s="1">
        <v>45912</v>
      </c>
      <c r="C715" t="s">
        <v>72</v>
      </c>
      <c r="E715" t="s">
        <v>20</v>
      </c>
      <c r="F715" t="s">
        <v>89</v>
      </c>
      <c r="G715">
        <v>0</v>
      </c>
      <c r="H715">
        <f t="shared" si="41"/>
        <v>-2.4146000000000001</v>
      </c>
      <c r="I715" s="2">
        <v>41</v>
      </c>
      <c r="J715">
        <f t="shared" si="40"/>
        <v>-98.99860000000001</v>
      </c>
      <c r="K715">
        <f t="shared" si="39"/>
        <v>0</v>
      </c>
    </row>
    <row r="716" spans="2:11" x14ac:dyDescent="0.25">
      <c r="B716" s="1">
        <v>45912</v>
      </c>
      <c r="C716" t="s">
        <v>72</v>
      </c>
      <c r="E716" t="s">
        <v>63</v>
      </c>
      <c r="F716" t="s">
        <v>89</v>
      </c>
      <c r="G716">
        <v>0</v>
      </c>
      <c r="H716">
        <f t="shared" si="41"/>
        <v>-2.4146000000000001</v>
      </c>
      <c r="I716" s="2">
        <v>41</v>
      </c>
      <c r="J716">
        <f t="shared" si="40"/>
        <v>-98.99860000000001</v>
      </c>
      <c r="K716">
        <f t="shared" si="39"/>
        <v>0</v>
      </c>
    </row>
    <row r="717" spans="2:11" x14ac:dyDescent="0.25">
      <c r="B717" s="1">
        <v>45912</v>
      </c>
      <c r="C717" t="s">
        <v>72</v>
      </c>
      <c r="E717" t="s">
        <v>21</v>
      </c>
      <c r="F717" t="s">
        <v>89</v>
      </c>
      <c r="G717">
        <v>0</v>
      </c>
      <c r="H717">
        <f t="shared" si="41"/>
        <v>-2.4146000000000001</v>
      </c>
      <c r="I717" s="2">
        <v>41</v>
      </c>
      <c r="J717">
        <f t="shared" si="40"/>
        <v>-98.99860000000001</v>
      </c>
      <c r="K717">
        <f t="shared" si="39"/>
        <v>0</v>
      </c>
    </row>
    <row r="718" spans="2:11" x14ac:dyDescent="0.25">
      <c r="B718" s="1">
        <v>45912</v>
      </c>
      <c r="C718" t="s">
        <v>72</v>
      </c>
      <c r="E718" t="s">
        <v>22</v>
      </c>
      <c r="F718" t="s">
        <v>89</v>
      </c>
      <c r="G718">
        <v>0</v>
      </c>
      <c r="H718">
        <f t="shared" si="41"/>
        <v>-2.4146000000000001</v>
      </c>
      <c r="I718" s="2">
        <v>41</v>
      </c>
      <c r="J718">
        <f t="shared" si="40"/>
        <v>-98.99860000000001</v>
      </c>
      <c r="K718">
        <f t="shared" si="39"/>
        <v>0</v>
      </c>
    </row>
    <row r="719" spans="2:11" x14ac:dyDescent="0.25">
      <c r="B719" s="1">
        <v>45912</v>
      </c>
      <c r="C719" t="s">
        <v>72</v>
      </c>
      <c r="E719" t="s">
        <v>23</v>
      </c>
      <c r="F719" t="s">
        <v>89</v>
      </c>
      <c r="G719">
        <v>0</v>
      </c>
      <c r="H719">
        <f t="shared" si="41"/>
        <v>-2.4146000000000001</v>
      </c>
      <c r="I719" s="2">
        <v>41</v>
      </c>
      <c r="J719">
        <f t="shared" si="40"/>
        <v>-98.99860000000001</v>
      </c>
      <c r="K719">
        <f t="shared" si="39"/>
        <v>0</v>
      </c>
    </row>
    <row r="720" spans="2:11" x14ac:dyDescent="0.25">
      <c r="B720" s="1">
        <v>45912</v>
      </c>
      <c r="C720" t="s">
        <v>72</v>
      </c>
      <c r="E720" t="s">
        <v>64</v>
      </c>
      <c r="F720" t="s">
        <v>89</v>
      </c>
      <c r="G720">
        <v>0</v>
      </c>
      <c r="H720">
        <f t="shared" si="41"/>
        <v>-2.4146000000000001</v>
      </c>
      <c r="I720" s="2">
        <v>41</v>
      </c>
      <c r="J720">
        <f t="shared" si="40"/>
        <v>-98.99860000000001</v>
      </c>
      <c r="K720">
        <f t="shared" si="39"/>
        <v>0</v>
      </c>
    </row>
    <row r="721" spans="2:11" x14ac:dyDescent="0.25">
      <c r="B721" s="1">
        <v>45912</v>
      </c>
      <c r="C721" t="s">
        <v>72</v>
      </c>
      <c r="E721" t="s">
        <v>24</v>
      </c>
      <c r="F721" t="s">
        <v>89</v>
      </c>
      <c r="G721">
        <v>0</v>
      </c>
      <c r="H721">
        <f t="shared" si="41"/>
        <v>-2.4146000000000001</v>
      </c>
      <c r="I721" s="2">
        <v>41</v>
      </c>
      <c r="J721">
        <f t="shared" si="40"/>
        <v>-98.99860000000001</v>
      </c>
      <c r="K721">
        <f t="shared" si="39"/>
        <v>0</v>
      </c>
    </row>
    <row r="722" spans="2:11" x14ac:dyDescent="0.25">
      <c r="B722" s="1">
        <v>45912</v>
      </c>
      <c r="C722" t="s">
        <v>72</v>
      </c>
      <c r="E722" t="s">
        <v>25</v>
      </c>
      <c r="F722" t="s">
        <v>89</v>
      </c>
      <c r="G722">
        <v>0</v>
      </c>
      <c r="H722">
        <f t="shared" si="41"/>
        <v>-2.4146000000000001</v>
      </c>
      <c r="I722" s="2">
        <v>41</v>
      </c>
      <c r="J722">
        <f t="shared" si="40"/>
        <v>-98.99860000000001</v>
      </c>
      <c r="K722">
        <f t="shared" si="39"/>
        <v>0</v>
      </c>
    </row>
    <row r="723" spans="2:11" x14ac:dyDescent="0.25">
      <c r="B723" s="1">
        <v>45912</v>
      </c>
      <c r="C723" t="s">
        <v>72</v>
      </c>
      <c r="E723" t="s">
        <v>26</v>
      </c>
      <c r="F723" t="s">
        <v>89</v>
      </c>
      <c r="G723">
        <v>0</v>
      </c>
      <c r="H723">
        <f t="shared" si="41"/>
        <v>-2.4146000000000001</v>
      </c>
      <c r="I723" s="2">
        <v>41</v>
      </c>
      <c r="J723">
        <f t="shared" si="40"/>
        <v>-98.99860000000001</v>
      </c>
      <c r="K723">
        <f t="shared" si="39"/>
        <v>0</v>
      </c>
    </row>
    <row r="724" spans="2:11" x14ac:dyDescent="0.25">
      <c r="B724" s="1">
        <v>45912</v>
      </c>
      <c r="C724" t="s">
        <v>72</v>
      </c>
      <c r="E724" t="s">
        <v>65</v>
      </c>
      <c r="F724" t="s">
        <v>89</v>
      </c>
      <c r="G724">
        <v>0</v>
      </c>
      <c r="H724">
        <f t="shared" si="41"/>
        <v>-2.4146000000000001</v>
      </c>
      <c r="I724" s="2">
        <v>41</v>
      </c>
      <c r="J724">
        <f t="shared" si="40"/>
        <v>-98.99860000000001</v>
      </c>
      <c r="K724">
        <f t="shared" si="39"/>
        <v>0</v>
      </c>
    </row>
    <row r="725" spans="2:11" x14ac:dyDescent="0.25">
      <c r="B725" s="1">
        <v>45912</v>
      </c>
      <c r="C725" t="s">
        <v>72</v>
      </c>
      <c r="E725" t="s">
        <v>27</v>
      </c>
      <c r="F725" t="s">
        <v>89</v>
      </c>
      <c r="G725">
        <v>0</v>
      </c>
      <c r="H725">
        <f t="shared" si="41"/>
        <v>-2.4146000000000001</v>
      </c>
      <c r="I725" s="2">
        <v>41</v>
      </c>
      <c r="J725">
        <f t="shared" si="40"/>
        <v>-98.99860000000001</v>
      </c>
      <c r="K725">
        <f t="shared" si="39"/>
        <v>0</v>
      </c>
    </row>
    <row r="726" spans="2:11" x14ac:dyDescent="0.25">
      <c r="B726" s="1">
        <v>45912</v>
      </c>
      <c r="C726" t="s">
        <v>72</v>
      </c>
      <c r="E726" t="s">
        <v>28</v>
      </c>
      <c r="F726" t="s">
        <v>89</v>
      </c>
      <c r="G726">
        <v>0</v>
      </c>
      <c r="H726">
        <f t="shared" si="41"/>
        <v>-2.4146000000000001</v>
      </c>
      <c r="I726" s="2">
        <v>41</v>
      </c>
      <c r="J726">
        <f t="shared" si="40"/>
        <v>-98.99860000000001</v>
      </c>
      <c r="K726">
        <f t="shared" si="39"/>
        <v>0</v>
      </c>
    </row>
    <row r="727" spans="2:11" x14ac:dyDescent="0.25">
      <c r="B727" s="1">
        <v>45912</v>
      </c>
      <c r="C727" t="s">
        <v>72</v>
      </c>
      <c r="E727" t="s">
        <v>29</v>
      </c>
      <c r="F727" t="s">
        <v>89</v>
      </c>
      <c r="G727">
        <v>0</v>
      </c>
      <c r="H727">
        <f t="shared" si="41"/>
        <v>-2.4146000000000001</v>
      </c>
      <c r="I727" s="2">
        <v>41</v>
      </c>
      <c r="J727">
        <f t="shared" si="40"/>
        <v>-98.99860000000001</v>
      </c>
      <c r="K727">
        <f t="shared" si="39"/>
        <v>0</v>
      </c>
    </row>
    <row r="728" spans="2:11" x14ac:dyDescent="0.25">
      <c r="B728" s="1">
        <v>45912</v>
      </c>
      <c r="C728" t="s">
        <v>72</v>
      </c>
      <c r="E728" t="s">
        <v>66</v>
      </c>
      <c r="F728" t="s">
        <v>89</v>
      </c>
      <c r="G728">
        <v>0</v>
      </c>
      <c r="H728">
        <f t="shared" si="41"/>
        <v>-2.4146000000000001</v>
      </c>
      <c r="I728" s="2">
        <v>41</v>
      </c>
      <c r="J728">
        <f t="shared" si="40"/>
        <v>-98.99860000000001</v>
      </c>
      <c r="K728">
        <f t="shared" si="39"/>
        <v>0</v>
      </c>
    </row>
    <row r="729" spans="2:11" x14ac:dyDescent="0.25">
      <c r="B729" s="1">
        <v>45912</v>
      </c>
      <c r="C729" t="s">
        <v>72</v>
      </c>
      <c r="D729" t="s">
        <v>67</v>
      </c>
      <c r="E729">
        <v>1</v>
      </c>
      <c r="F729" t="s">
        <v>89</v>
      </c>
      <c r="G729">
        <v>0</v>
      </c>
      <c r="H729">
        <f t="shared" si="41"/>
        <v>-2.4146000000000001</v>
      </c>
      <c r="I729" s="2">
        <v>1</v>
      </c>
      <c r="J729">
        <f t="shared" si="40"/>
        <v>-2.4146000000000001</v>
      </c>
      <c r="K729">
        <f t="shared" si="39"/>
        <v>0</v>
      </c>
    </row>
    <row r="730" spans="2:11" x14ac:dyDescent="0.25">
      <c r="B730" s="1">
        <v>45912</v>
      </c>
      <c r="C730" t="s">
        <v>72</v>
      </c>
      <c r="D730" t="s">
        <v>67</v>
      </c>
      <c r="E730">
        <v>2</v>
      </c>
      <c r="F730" t="s">
        <v>89</v>
      </c>
      <c r="G730">
        <v>0</v>
      </c>
      <c r="H730">
        <f t="shared" si="41"/>
        <v>-2.4146000000000001</v>
      </c>
      <c r="I730" s="2">
        <v>1</v>
      </c>
      <c r="J730">
        <f t="shared" si="40"/>
        <v>-2.4146000000000001</v>
      </c>
      <c r="K730">
        <f t="shared" si="39"/>
        <v>0</v>
      </c>
    </row>
    <row r="731" spans="2:11" x14ac:dyDescent="0.25">
      <c r="B731" s="1">
        <v>45912</v>
      </c>
      <c r="C731" t="s">
        <v>72</v>
      </c>
      <c r="D731" t="s">
        <v>67</v>
      </c>
      <c r="E731">
        <v>3</v>
      </c>
      <c r="F731" t="s">
        <v>89</v>
      </c>
      <c r="G731">
        <v>0</v>
      </c>
      <c r="H731">
        <f t="shared" si="41"/>
        <v>-2.4146000000000001</v>
      </c>
      <c r="I731" s="2">
        <v>1</v>
      </c>
      <c r="J731">
        <f t="shared" si="40"/>
        <v>-2.4146000000000001</v>
      </c>
      <c r="K731">
        <f t="shared" si="39"/>
        <v>0</v>
      </c>
    </row>
    <row r="732" spans="2:11" x14ac:dyDescent="0.25">
      <c r="B732" s="1">
        <v>45947</v>
      </c>
      <c r="C732" t="s">
        <v>12</v>
      </c>
      <c r="E732" t="s">
        <v>13</v>
      </c>
      <c r="F732" t="s">
        <v>103</v>
      </c>
      <c r="G732">
        <v>0</v>
      </c>
      <c r="H732">
        <f>IF(G732=0, 0, ((405.18*G732)+4.2619))</f>
        <v>0</v>
      </c>
      <c r="I732" s="2">
        <v>20.5</v>
      </c>
      <c r="J732">
        <f t="shared" ref="J732" si="42">H732*I732</f>
        <v>0</v>
      </c>
      <c r="K732">
        <f>MAX(J732,0)</f>
        <v>0</v>
      </c>
    </row>
    <row r="733" spans="2:11" x14ac:dyDescent="0.25">
      <c r="B733" s="1">
        <v>45947</v>
      </c>
      <c r="C733" t="s">
        <v>12</v>
      </c>
      <c r="E733" t="s">
        <v>14</v>
      </c>
      <c r="F733" t="s">
        <v>103</v>
      </c>
      <c r="G733">
        <v>0</v>
      </c>
      <c r="H733">
        <f t="shared" ref="H733:H796" si="43">IF(G733=0, 0, ((405.18*G733)+4.2619))</f>
        <v>0</v>
      </c>
      <c r="I733" s="2">
        <v>20.5</v>
      </c>
      <c r="J733">
        <f>H733*I733</f>
        <v>0</v>
      </c>
      <c r="K733">
        <f>MAX(J733,0)</f>
        <v>0</v>
      </c>
    </row>
    <row r="734" spans="2:11" x14ac:dyDescent="0.25">
      <c r="B734" s="1">
        <v>45947</v>
      </c>
      <c r="C734" t="s">
        <v>12</v>
      </c>
      <c r="E734" t="s">
        <v>15</v>
      </c>
      <c r="F734" t="s">
        <v>103</v>
      </c>
      <c r="G734">
        <v>0</v>
      </c>
      <c r="H734">
        <f t="shared" si="43"/>
        <v>0</v>
      </c>
      <c r="I734" s="2">
        <v>20.5</v>
      </c>
      <c r="J734">
        <f t="shared" ref="J734:J797" si="44">H734*I734</f>
        <v>0</v>
      </c>
      <c r="K734">
        <f t="shared" ref="K734:K797" si="45">MAX(J734,0)</f>
        <v>0</v>
      </c>
    </row>
    <row r="735" spans="2:11" x14ac:dyDescent="0.25">
      <c r="B735" s="1">
        <v>45947</v>
      </c>
      <c r="C735" t="s">
        <v>12</v>
      </c>
      <c r="E735" t="s">
        <v>16</v>
      </c>
      <c r="F735" t="s">
        <v>103</v>
      </c>
      <c r="G735">
        <v>0</v>
      </c>
      <c r="H735">
        <f t="shared" si="43"/>
        <v>0</v>
      </c>
      <c r="I735" s="2">
        <v>20.5</v>
      </c>
      <c r="J735">
        <f t="shared" si="44"/>
        <v>0</v>
      </c>
      <c r="K735">
        <f t="shared" si="45"/>
        <v>0</v>
      </c>
    </row>
    <row r="736" spans="2:11" x14ac:dyDescent="0.25">
      <c r="B736" s="1">
        <v>45947</v>
      </c>
      <c r="C736" t="s">
        <v>12</v>
      </c>
      <c r="E736" t="s">
        <v>17</v>
      </c>
      <c r="F736" t="s">
        <v>103</v>
      </c>
      <c r="G736">
        <v>0</v>
      </c>
      <c r="H736">
        <f t="shared" si="43"/>
        <v>0</v>
      </c>
      <c r="I736" s="2">
        <v>20.5</v>
      </c>
      <c r="J736">
        <f t="shared" si="44"/>
        <v>0</v>
      </c>
      <c r="K736">
        <f t="shared" si="45"/>
        <v>0</v>
      </c>
    </row>
    <row r="737" spans="2:11" x14ac:dyDescent="0.25">
      <c r="B737" s="1">
        <v>45947</v>
      </c>
      <c r="C737" t="s">
        <v>12</v>
      </c>
      <c r="E737" t="s">
        <v>12</v>
      </c>
      <c r="F737" t="s">
        <v>103</v>
      </c>
      <c r="G737">
        <v>0</v>
      </c>
      <c r="H737">
        <f t="shared" si="43"/>
        <v>0</v>
      </c>
      <c r="I737" s="2">
        <v>20.5</v>
      </c>
      <c r="J737">
        <f t="shared" si="44"/>
        <v>0</v>
      </c>
      <c r="K737">
        <f t="shared" si="45"/>
        <v>0</v>
      </c>
    </row>
    <row r="738" spans="2:11" x14ac:dyDescent="0.25">
      <c r="B738" s="1">
        <v>45947</v>
      </c>
      <c r="C738" t="s">
        <v>12</v>
      </c>
      <c r="E738" t="s">
        <v>18</v>
      </c>
      <c r="F738" t="s">
        <v>103</v>
      </c>
      <c r="G738">
        <v>0</v>
      </c>
      <c r="H738">
        <f t="shared" si="43"/>
        <v>0</v>
      </c>
      <c r="I738" s="2">
        <v>20.5</v>
      </c>
      <c r="J738">
        <f t="shared" si="44"/>
        <v>0</v>
      </c>
      <c r="K738">
        <f t="shared" si="45"/>
        <v>0</v>
      </c>
    </row>
    <row r="739" spans="2:11" x14ac:dyDescent="0.25">
      <c r="B739" s="1">
        <v>45947</v>
      </c>
      <c r="C739" t="s">
        <v>12</v>
      </c>
      <c r="E739" t="s">
        <v>19</v>
      </c>
      <c r="F739" t="s">
        <v>103</v>
      </c>
      <c r="G739">
        <v>0</v>
      </c>
      <c r="H739">
        <f t="shared" si="43"/>
        <v>0</v>
      </c>
      <c r="I739" s="2">
        <v>20.5</v>
      </c>
      <c r="J739">
        <f t="shared" si="44"/>
        <v>0</v>
      </c>
      <c r="K739">
        <f t="shared" si="45"/>
        <v>0</v>
      </c>
    </row>
    <row r="740" spans="2:11" x14ac:dyDescent="0.25">
      <c r="B740" s="1">
        <v>45947</v>
      </c>
      <c r="C740" t="s">
        <v>12</v>
      </c>
      <c r="E740" t="s">
        <v>20</v>
      </c>
      <c r="F740" t="s">
        <v>103</v>
      </c>
      <c r="G740">
        <v>0</v>
      </c>
      <c r="H740">
        <f t="shared" si="43"/>
        <v>0</v>
      </c>
      <c r="I740" s="2">
        <v>20.5</v>
      </c>
      <c r="J740">
        <f t="shared" si="44"/>
        <v>0</v>
      </c>
      <c r="K740">
        <f t="shared" si="45"/>
        <v>0</v>
      </c>
    </row>
    <row r="741" spans="2:11" x14ac:dyDescent="0.25">
      <c r="B741" s="1">
        <v>45947</v>
      </c>
      <c r="C741" t="s">
        <v>12</v>
      </c>
      <c r="E741" t="s">
        <v>21</v>
      </c>
      <c r="F741" t="s">
        <v>103</v>
      </c>
      <c r="G741">
        <v>0</v>
      </c>
      <c r="H741">
        <f t="shared" si="43"/>
        <v>0</v>
      </c>
      <c r="I741" s="2">
        <v>20.5</v>
      </c>
      <c r="J741">
        <f t="shared" si="44"/>
        <v>0</v>
      </c>
      <c r="K741">
        <f t="shared" si="45"/>
        <v>0</v>
      </c>
    </row>
    <row r="742" spans="2:11" x14ac:dyDescent="0.25">
      <c r="B742" s="1">
        <v>45947</v>
      </c>
      <c r="C742" t="s">
        <v>12</v>
      </c>
      <c r="E742" t="s">
        <v>22</v>
      </c>
      <c r="F742" t="s">
        <v>103</v>
      </c>
      <c r="G742">
        <v>0</v>
      </c>
      <c r="H742">
        <f t="shared" si="43"/>
        <v>0</v>
      </c>
      <c r="I742" s="2">
        <v>20.5</v>
      </c>
      <c r="J742">
        <f t="shared" si="44"/>
        <v>0</v>
      </c>
      <c r="K742">
        <f t="shared" si="45"/>
        <v>0</v>
      </c>
    </row>
    <row r="743" spans="2:11" x14ac:dyDescent="0.25">
      <c r="B743" s="1">
        <v>45947</v>
      </c>
      <c r="C743" t="s">
        <v>12</v>
      </c>
      <c r="E743" t="s">
        <v>23</v>
      </c>
      <c r="F743" t="s">
        <v>103</v>
      </c>
      <c r="G743">
        <v>0</v>
      </c>
      <c r="H743">
        <f t="shared" si="43"/>
        <v>0</v>
      </c>
      <c r="I743" s="2">
        <v>20.5</v>
      </c>
      <c r="J743">
        <f t="shared" si="44"/>
        <v>0</v>
      </c>
      <c r="K743">
        <f t="shared" si="45"/>
        <v>0</v>
      </c>
    </row>
    <row r="744" spans="2:11" x14ac:dyDescent="0.25">
      <c r="B744" s="1">
        <v>45947</v>
      </c>
      <c r="C744" t="s">
        <v>12</v>
      </c>
      <c r="E744" t="s">
        <v>24</v>
      </c>
      <c r="F744" t="s">
        <v>103</v>
      </c>
      <c r="G744">
        <v>0</v>
      </c>
      <c r="H744">
        <f t="shared" si="43"/>
        <v>0</v>
      </c>
      <c r="I744" s="2">
        <v>20.5</v>
      </c>
      <c r="J744">
        <f t="shared" si="44"/>
        <v>0</v>
      </c>
      <c r="K744">
        <f t="shared" si="45"/>
        <v>0</v>
      </c>
    </row>
    <row r="745" spans="2:11" x14ac:dyDescent="0.25">
      <c r="B745" s="1">
        <v>45947</v>
      </c>
      <c r="C745" t="s">
        <v>12</v>
      </c>
      <c r="E745" t="s">
        <v>25</v>
      </c>
      <c r="F745" t="s">
        <v>103</v>
      </c>
      <c r="G745">
        <v>0</v>
      </c>
      <c r="H745">
        <f t="shared" si="43"/>
        <v>0</v>
      </c>
      <c r="I745" s="2">
        <v>20.5</v>
      </c>
      <c r="J745">
        <f t="shared" si="44"/>
        <v>0</v>
      </c>
      <c r="K745">
        <f t="shared" si="45"/>
        <v>0</v>
      </c>
    </row>
    <row r="746" spans="2:11" x14ac:dyDescent="0.25">
      <c r="B746" s="1">
        <v>45947</v>
      </c>
      <c r="C746" t="s">
        <v>12</v>
      </c>
      <c r="E746" t="s">
        <v>26</v>
      </c>
      <c r="F746" t="s">
        <v>103</v>
      </c>
      <c r="G746">
        <v>0</v>
      </c>
      <c r="H746">
        <f t="shared" si="43"/>
        <v>0</v>
      </c>
      <c r="I746" s="2">
        <v>20.5</v>
      </c>
      <c r="J746">
        <f t="shared" si="44"/>
        <v>0</v>
      </c>
      <c r="K746">
        <f t="shared" si="45"/>
        <v>0</v>
      </c>
    </row>
    <row r="747" spans="2:11" x14ac:dyDescent="0.25">
      <c r="B747" s="1">
        <v>45947</v>
      </c>
      <c r="C747" t="s">
        <v>12</v>
      </c>
      <c r="E747" t="s">
        <v>27</v>
      </c>
      <c r="F747" t="s">
        <v>103</v>
      </c>
      <c r="G747">
        <v>0</v>
      </c>
      <c r="H747">
        <f t="shared" si="43"/>
        <v>0</v>
      </c>
      <c r="I747" s="2">
        <v>20.5</v>
      </c>
      <c r="J747">
        <f t="shared" si="44"/>
        <v>0</v>
      </c>
      <c r="K747">
        <f t="shared" si="45"/>
        <v>0</v>
      </c>
    </row>
    <row r="748" spans="2:11" x14ac:dyDescent="0.25">
      <c r="B748" s="1">
        <v>45947</v>
      </c>
      <c r="C748" t="s">
        <v>12</v>
      </c>
      <c r="E748" t="s">
        <v>28</v>
      </c>
      <c r="F748" t="s">
        <v>103</v>
      </c>
      <c r="G748">
        <v>0</v>
      </c>
      <c r="H748">
        <f t="shared" si="43"/>
        <v>0</v>
      </c>
      <c r="I748" s="2">
        <v>20.5</v>
      </c>
      <c r="J748">
        <f t="shared" si="44"/>
        <v>0</v>
      </c>
      <c r="K748">
        <f t="shared" si="45"/>
        <v>0</v>
      </c>
    </row>
    <row r="749" spans="2:11" x14ac:dyDescent="0.25">
      <c r="B749" s="1">
        <v>45947</v>
      </c>
      <c r="C749" t="s">
        <v>12</v>
      </c>
      <c r="E749" t="s">
        <v>29</v>
      </c>
      <c r="F749" t="s">
        <v>103</v>
      </c>
      <c r="G749">
        <v>0</v>
      </c>
      <c r="H749">
        <f t="shared" si="43"/>
        <v>0</v>
      </c>
      <c r="I749" s="2">
        <v>20.5</v>
      </c>
      <c r="J749">
        <f t="shared" si="44"/>
        <v>0</v>
      </c>
      <c r="K749">
        <f t="shared" si="45"/>
        <v>0</v>
      </c>
    </row>
    <row r="750" spans="2:11" x14ac:dyDescent="0.25">
      <c r="B750" s="1">
        <v>45947</v>
      </c>
      <c r="C750" t="s">
        <v>30</v>
      </c>
      <c r="E750" t="s">
        <v>13</v>
      </c>
      <c r="F750" t="s">
        <v>103</v>
      </c>
      <c r="G750">
        <v>0</v>
      </c>
      <c r="H750">
        <f t="shared" si="43"/>
        <v>0</v>
      </c>
      <c r="I750" s="2">
        <v>20.5</v>
      </c>
      <c r="J750">
        <f t="shared" si="44"/>
        <v>0</v>
      </c>
      <c r="K750">
        <f t="shared" si="45"/>
        <v>0</v>
      </c>
    </row>
    <row r="751" spans="2:11" x14ac:dyDescent="0.25">
      <c r="B751" s="1">
        <v>45947</v>
      </c>
      <c r="C751" t="s">
        <v>30</v>
      </c>
      <c r="E751" t="s">
        <v>14</v>
      </c>
      <c r="F751" t="s">
        <v>103</v>
      </c>
      <c r="G751">
        <v>0</v>
      </c>
      <c r="H751">
        <f t="shared" si="43"/>
        <v>0</v>
      </c>
      <c r="I751" s="2">
        <v>20.5</v>
      </c>
      <c r="J751">
        <f t="shared" si="44"/>
        <v>0</v>
      </c>
      <c r="K751">
        <f t="shared" si="45"/>
        <v>0</v>
      </c>
    </row>
    <row r="752" spans="2:11" x14ac:dyDescent="0.25">
      <c r="B752" s="1">
        <v>45947</v>
      </c>
      <c r="C752" t="s">
        <v>30</v>
      </c>
      <c r="E752" t="s">
        <v>15</v>
      </c>
      <c r="F752" t="s">
        <v>103</v>
      </c>
      <c r="G752">
        <v>0</v>
      </c>
      <c r="H752">
        <f t="shared" si="43"/>
        <v>0</v>
      </c>
      <c r="I752" s="2">
        <v>20.5</v>
      </c>
      <c r="J752">
        <f t="shared" si="44"/>
        <v>0</v>
      </c>
      <c r="K752">
        <f t="shared" si="45"/>
        <v>0</v>
      </c>
    </row>
    <row r="753" spans="2:11" x14ac:dyDescent="0.25">
      <c r="B753" s="1">
        <v>45947</v>
      </c>
      <c r="C753" t="s">
        <v>30</v>
      </c>
      <c r="E753" t="s">
        <v>16</v>
      </c>
      <c r="F753" t="s">
        <v>103</v>
      </c>
      <c r="G753">
        <v>0</v>
      </c>
      <c r="H753">
        <f t="shared" si="43"/>
        <v>0</v>
      </c>
      <c r="I753" s="2">
        <v>20.5</v>
      </c>
      <c r="J753">
        <f t="shared" si="44"/>
        <v>0</v>
      </c>
      <c r="K753">
        <f t="shared" si="45"/>
        <v>0</v>
      </c>
    </row>
    <row r="754" spans="2:11" x14ac:dyDescent="0.25">
      <c r="B754" s="1">
        <v>45947</v>
      </c>
      <c r="C754" t="s">
        <v>30</v>
      </c>
      <c r="E754" t="s">
        <v>17</v>
      </c>
      <c r="F754" t="s">
        <v>103</v>
      </c>
      <c r="G754">
        <v>0</v>
      </c>
      <c r="H754">
        <f t="shared" si="43"/>
        <v>0</v>
      </c>
      <c r="I754" s="2">
        <v>20.5</v>
      </c>
      <c r="J754">
        <f t="shared" si="44"/>
        <v>0</v>
      </c>
      <c r="K754">
        <f t="shared" si="45"/>
        <v>0</v>
      </c>
    </row>
    <row r="755" spans="2:11" x14ac:dyDescent="0.25">
      <c r="B755" s="1">
        <v>45947</v>
      </c>
      <c r="C755" t="s">
        <v>30</v>
      </c>
      <c r="E755" t="s">
        <v>12</v>
      </c>
      <c r="F755" t="s">
        <v>103</v>
      </c>
      <c r="G755">
        <v>0</v>
      </c>
      <c r="H755">
        <f t="shared" si="43"/>
        <v>0</v>
      </c>
      <c r="I755" s="2">
        <v>20.5</v>
      </c>
      <c r="J755">
        <f t="shared" si="44"/>
        <v>0</v>
      </c>
      <c r="K755">
        <f t="shared" si="45"/>
        <v>0</v>
      </c>
    </row>
    <row r="756" spans="2:11" x14ac:dyDescent="0.25">
      <c r="B756" s="1">
        <v>45947</v>
      </c>
      <c r="C756" t="s">
        <v>30</v>
      </c>
      <c r="E756" t="s">
        <v>18</v>
      </c>
      <c r="F756" t="s">
        <v>103</v>
      </c>
      <c r="G756">
        <v>0</v>
      </c>
      <c r="H756">
        <f t="shared" si="43"/>
        <v>0</v>
      </c>
      <c r="I756" s="2">
        <v>20.5</v>
      </c>
      <c r="J756">
        <f t="shared" si="44"/>
        <v>0</v>
      </c>
      <c r="K756">
        <f t="shared" si="45"/>
        <v>0</v>
      </c>
    </row>
    <row r="757" spans="2:11" x14ac:dyDescent="0.25">
      <c r="B757" s="1">
        <v>45947</v>
      </c>
      <c r="C757" t="s">
        <v>30</v>
      </c>
      <c r="E757" t="s">
        <v>19</v>
      </c>
      <c r="F757" t="s">
        <v>103</v>
      </c>
      <c r="G757">
        <v>0</v>
      </c>
      <c r="H757">
        <f t="shared" si="43"/>
        <v>0</v>
      </c>
      <c r="I757" s="2">
        <v>20.5</v>
      </c>
      <c r="J757">
        <f t="shared" si="44"/>
        <v>0</v>
      </c>
      <c r="K757">
        <f t="shared" si="45"/>
        <v>0</v>
      </c>
    </row>
    <row r="758" spans="2:11" x14ac:dyDescent="0.25">
      <c r="B758" s="1">
        <v>45947</v>
      </c>
      <c r="C758" t="s">
        <v>30</v>
      </c>
      <c r="E758" t="s">
        <v>20</v>
      </c>
      <c r="F758" t="s">
        <v>103</v>
      </c>
      <c r="G758">
        <v>0</v>
      </c>
      <c r="H758">
        <f t="shared" si="43"/>
        <v>0</v>
      </c>
      <c r="I758" s="2">
        <v>20.5</v>
      </c>
      <c r="J758">
        <f t="shared" si="44"/>
        <v>0</v>
      </c>
      <c r="K758">
        <f t="shared" si="45"/>
        <v>0</v>
      </c>
    </row>
    <row r="759" spans="2:11" x14ac:dyDescent="0.25">
      <c r="B759" s="1">
        <v>45947</v>
      </c>
      <c r="C759" t="s">
        <v>30</v>
      </c>
      <c r="E759" t="s">
        <v>21</v>
      </c>
      <c r="F759" t="s">
        <v>103</v>
      </c>
      <c r="G759">
        <v>0</v>
      </c>
      <c r="H759">
        <f t="shared" si="43"/>
        <v>0</v>
      </c>
      <c r="I759" s="2">
        <v>20.5</v>
      </c>
      <c r="J759">
        <f t="shared" si="44"/>
        <v>0</v>
      </c>
      <c r="K759">
        <f t="shared" si="45"/>
        <v>0</v>
      </c>
    </row>
    <row r="760" spans="2:11" x14ac:dyDescent="0.25">
      <c r="B760" s="1">
        <v>45947</v>
      </c>
      <c r="C760" t="s">
        <v>30</v>
      </c>
      <c r="E760" t="s">
        <v>22</v>
      </c>
      <c r="F760" t="s">
        <v>103</v>
      </c>
      <c r="G760">
        <v>0</v>
      </c>
      <c r="H760">
        <f t="shared" si="43"/>
        <v>0</v>
      </c>
      <c r="I760" s="2">
        <v>20.5</v>
      </c>
      <c r="J760">
        <f t="shared" si="44"/>
        <v>0</v>
      </c>
      <c r="K760">
        <f t="shared" si="45"/>
        <v>0</v>
      </c>
    </row>
    <row r="761" spans="2:11" x14ac:dyDescent="0.25">
      <c r="B761" s="1">
        <v>45947</v>
      </c>
      <c r="C761" t="s">
        <v>30</v>
      </c>
      <c r="E761" t="s">
        <v>23</v>
      </c>
      <c r="F761" t="s">
        <v>103</v>
      </c>
      <c r="G761">
        <v>0</v>
      </c>
      <c r="H761">
        <f t="shared" si="43"/>
        <v>0</v>
      </c>
      <c r="I761" s="2">
        <v>20.5</v>
      </c>
      <c r="J761">
        <f t="shared" si="44"/>
        <v>0</v>
      </c>
      <c r="K761">
        <f t="shared" si="45"/>
        <v>0</v>
      </c>
    </row>
    <row r="762" spans="2:11" x14ac:dyDescent="0.25">
      <c r="B762" s="1">
        <v>45947</v>
      </c>
      <c r="C762" t="s">
        <v>30</v>
      </c>
      <c r="E762" t="s">
        <v>24</v>
      </c>
      <c r="F762" t="s">
        <v>103</v>
      </c>
      <c r="G762">
        <v>0</v>
      </c>
      <c r="H762">
        <f t="shared" si="43"/>
        <v>0</v>
      </c>
      <c r="I762" s="2">
        <v>20.5</v>
      </c>
      <c r="J762">
        <f t="shared" si="44"/>
        <v>0</v>
      </c>
      <c r="K762">
        <f t="shared" si="45"/>
        <v>0</v>
      </c>
    </row>
    <row r="763" spans="2:11" x14ac:dyDescent="0.25">
      <c r="B763" s="1">
        <v>45947</v>
      </c>
      <c r="C763" t="s">
        <v>30</v>
      </c>
      <c r="E763" t="s">
        <v>25</v>
      </c>
      <c r="F763" t="s">
        <v>103</v>
      </c>
      <c r="G763">
        <v>0</v>
      </c>
      <c r="H763">
        <f t="shared" si="43"/>
        <v>0</v>
      </c>
      <c r="I763" s="2">
        <v>20.5</v>
      </c>
      <c r="J763">
        <f t="shared" si="44"/>
        <v>0</v>
      </c>
      <c r="K763">
        <f t="shared" si="45"/>
        <v>0</v>
      </c>
    </row>
    <row r="764" spans="2:11" x14ac:dyDescent="0.25">
      <c r="B764" s="1">
        <v>45947</v>
      </c>
      <c r="C764" t="s">
        <v>30</v>
      </c>
      <c r="E764" t="s">
        <v>26</v>
      </c>
      <c r="F764" t="s">
        <v>103</v>
      </c>
      <c r="G764">
        <v>0</v>
      </c>
      <c r="H764">
        <f t="shared" si="43"/>
        <v>0</v>
      </c>
      <c r="I764" s="2">
        <v>20.5</v>
      </c>
      <c r="J764">
        <f t="shared" si="44"/>
        <v>0</v>
      </c>
      <c r="K764">
        <f t="shared" si="45"/>
        <v>0</v>
      </c>
    </row>
    <row r="765" spans="2:11" x14ac:dyDescent="0.25">
      <c r="B765" s="1">
        <v>45947</v>
      </c>
      <c r="C765" t="s">
        <v>30</v>
      </c>
      <c r="E765" t="s">
        <v>27</v>
      </c>
      <c r="F765" t="s">
        <v>103</v>
      </c>
      <c r="G765">
        <v>0</v>
      </c>
      <c r="H765">
        <f t="shared" si="43"/>
        <v>0</v>
      </c>
      <c r="I765" s="2">
        <v>20.5</v>
      </c>
      <c r="J765">
        <f t="shared" si="44"/>
        <v>0</v>
      </c>
      <c r="K765">
        <f t="shared" si="45"/>
        <v>0</v>
      </c>
    </row>
    <row r="766" spans="2:11" x14ac:dyDescent="0.25">
      <c r="B766" s="1">
        <v>45947</v>
      </c>
      <c r="C766" t="s">
        <v>30</v>
      </c>
      <c r="E766" t="s">
        <v>28</v>
      </c>
      <c r="F766" t="s">
        <v>103</v>
      </c>
      <c r="G766">
        <v>0</v>
      </c>
      <c r="H766">
        <f t="shared" si="43"/>
        <v>0</v>
      </c>
      <c r="I766" s="2">
        <v>20.5</v>
      </c>
      <c r="J766">
        <f t="shared" si="44"/>
        <v>0</v>
      </c>
      <c r="K766">
        <f t="shared" si="45"/>
        <v>0</v>
      </c>
    </row>
    <row r="767" spans="2:11" x14ac:dyDescent="0.25">
      <c r="B767" s="1">
        <v>45947</v>
      </c>
      <c r="C767" t="s">
        <v>30</v>
      </c>
      <c r="E767" t="s">
        <v>29</v>
      </c>
      <c r="F767" t="s">
        <v>103</v>
      </c>
      <c r="G767">
        <v>0</v>
      </c>
      <c r="H767">
        <f t="shared" si="43"/>
        <v>0</v>
      </c>
      <c r="I767" s="2">
        <v>20.5</v>
      </c>
      <c r="J767">
        <f t="shared" si="44"/>
        <v>0</v>
      </c>
      <c r="K767">
        <f t="shared" si="45"/>
        <v>0</v>
      </c>
    </row>
    <row r="768" spans="2:11" x14ac:dyDescent="0.25">
      <c r="B768" s="1">
        <v>46005</v>
      </c>
      <c r="C768" t="s">
        <v>12</v>
      </c>
      <c r="E768" t="s">
        <v>13</v>
      </c>
      <c r="F768" t="s">
        <v>103</v>
      </c>
      <c r="G768">
        <v>0</v>
      </c>
      <c r="H768">
        <f t="shared" si="43"/>
        <v>0</v>
      </c>
      <c r="I768" s="2">
        <v>20.5</v>
      </c>
      <c r="J768">
        <f t="shared" si="44"/>
        <v>0</v>
      </c>
      <c r="K768">
        <f t="shared" si="45"/>
        <v>0</v>
      </c>
    </row>
    <row r="769" spans="2:11" x14ac:dyDescent="0.25">
      <c r="B769" s="1">
        <v>46005</v>
      </c>
      <c r="C769" t="s">
        <v>12</v>
      </c>
      <c r="E769" t="s">
        <v>14</v>
      </c>
      <c r="F769" t="s">
        <v>103</v>
      </c>
      <c r="G769">
        <v>0</v>
      </c>
      <c r="H769">
        <f t="shared" si="43"/>
        <v>0</v>
      </c>
      <c r="I769" s="2">
        <v>20.5</v>
      </c>
      <c r="J769">
        <f t="shared" si="44"/>
        <v>0</v>
      </c>
      <c r="K769">
        <f t="shared" si="45"/>
        <v>0</v>
      </c>
    </row>
    <row r="770" spans="2:11" x14ac:dyDescent="0.25">
      <c r="B770" s="1">
        <v>46005</v>
      </c>
      <c r="C770" t="s">
        <v>12</v>
      </c>
      <c r="E770" t="s">
        <v>15</v>
      </c>
      <c r="F770" t="s">
        <v>103</v>
      </c>
      <c r="G770">
        <v>0</v>
      </c>
      <c r="H770">
        <f t="shared" si="43"/>
        <v>0</v>
      </c>
      <c r="I770" s="2">
        <v>20.5</v>
      </c>
      <c r="J770">
        <f t="shared" si="44"/>
        <v>0</v>
      </c>
      <c r="K770">
        <f t="shared" si="45"/>
        <v>0</v>
      </c>
    </row>
    <row r="771" spans="2:11" x14ac:dyDescent="0.25">
      <c r="B771" s="1">
        <v>46005</v>
      </c>
      <c r="C771" t="s">
        <v>12</v>
      </c>
      <c r="E771" t="s">
        <v>16</v>
      </c>
      <c r="F771" t="s">
        <v>103</v>
      </c>
      <c r="G771">
        <v>0</v>
      </c>
      <c r="H771">
        <f t="shared" si="43"/>
        <v>0</v>
      </c>
      <c r="I771" s="2">
        <v>20.5</v>
      </c>
      <c r="J771">
        <f t="shared" si="44"/>
        <v>0</v>
      </c>
      <c r="K771">
        <f t="shared" si="45"/>
        <v>0</v>
      </c>
    </row>
    <row r="772" spans="2:11" x14ac:dyDescent="0.25">
      <c r="B772" s="1">
        <v>46005</v>
      </c>
      <c r="C772" t="s">
        <v>12</v>
      </c>
      <c r="E772" t="s">
        <v>17</v>
      </c>
      <c r="F772" t="s">
        <v>103</v>
      </c>
      <c r="G772">
        <v>6.0000000000000001E-3</v>
      </c>
      <c r="H772">
        <f t="shared" si="43"/>
        <v>6.6929800000000004</v>
      </c>
      <c r="I772" s="2">
        <v>20.5</v>
      </c>
      <c r="J772">
        <f t="shared" si="44"/>
        <v>137.20609000000002</v>
      </c>
      <c r="K772">
        <f t="shared" si="45"/>
        <v>137.20609000000002</v>
      </c>
    </row>
    <row r="773" spans="2:11" x14ac:dyDescent="0.25">
      <c r="B773" s="1">
        <v>46005</v>
      </c>
      <c r="C773" t="s">
        <v>12</v>
      </c>
      <c r="E773" t="s">
        <v>12</v>
      </c>
      <c r="F773" t="s">
        <v>103</v>
      </c>
      <c r="G773">
        <v>2E-3</v>
      </c>
      <c r="H773">
        <f t="shared" si="43"/>
        <v>5.07226</v>
      </c>
      <c r="I773" s="2">
        <v>20.5</v>
      </c>
      <c r="J773">
        <f t="shared" si="44"/>
        <v>103.98133</v>
      </c>
      <c r="K773">
        <f t="shared" si="45"/>
        <v>103.98133</v>
      </c>
    </row>
    <row r="774" spans="2:11" x14ac:dyDescent="0.25">
      <c r="B774" s="1">
        <v>46005</v>
      </c>
      <c r="C774" t="s">
        <v>12</v>
      </c>
      <c r="E774" t="s">
        <v>18</v>
      </c>
      <c r="F774" t="s">
        <v>103</v>
      </c>
      <c r="G774">
        <v>0</v>
      </c>
      <c r="H774">
        <f t="shared" si="43"/>
        <v>0</v>
      </c>
      <c r="I774" s="2">
        <v>20.5</v>
      </c>
      <c r="J774">
        <f t="shared" si="44"/>
        <v>0</v>
      </c>
      <c r="K774">
        <f t="shared" si="45"/>
        <v>0</v>
      </c>
    </row>
    <row r="775" spans="2:11" x14ac:dyDescent="0.25">
      <c r="B775" s="1">
        <v>46005</v>
      </c>
      <c r="C775" t="s">
        <v>12</v>
      </c>
      <c r="E775" t="s">
        <v>19</v>
      </c>
      <c r="F775" t="s">
        <v>103</v>
      </c>
      <c r="G775">
        <v>0</v>
      </c>
      <c r="H775">
        <f t="shared" si="43"/>
        <v>0</v>
      </c>
      <c r="I775" s="2">
        <v>20.5</v>
      </c>
      <c r="J775">
        <f t="shared" si="44"/>
        <v>0</v>
      </c>
      <c r="K775">
        <f t="shared" si="45"/>
        <v>0</v>
      </c>
    </row>
    <row r="776" spans="2:11" x14ac:dyDescent="0.25">
      <c r="B776" s="1">
        <v>46005</v>
      </c>
      <c r="C776" t="s">
        <v>12</v>
      </c>
      <c r="E776" t="s">
        <v>20</v>
      </c>
      <c r="F776" t="s">
        <v>103</v>
      </c>
      <c r="G776">
        <v>8.0000000000000002E-3</v>
      </c>
      <c r="H776">
        <f t="shared" si="43"/>
        <v>7.5033399999999997</v>
      </c>
      <c r="I776" s="2">
        <v>20.5</v>
      </c>
      <c r="J776">
        <f t="shared" si="44"/>
        <v>153.81846999999999</v>
      </c>
      <c r="K776">
        <f t="shared" si="45"/>
        <v>153.81846999999999</v>
      </c>
    </row>
    <row r="777" spans="2:11" x14ac:dyDescent="0.25">
      <c r="B777" s="1">
        <v>46005</v>
      </c>
      <c r="C777" t="s">
        <v>12</v>
      </c>
      <c r="E777" t="s">
        <v>21</v>
      </c>
      <c r="F777" t="s">
        <v>103</v>
      </c>
      <c r="G777">
        <v>0</v>
      </c>
      <c r="H777">
        <f t="shared" si="43"/>
        <v>0</v>
      </c>
      <c r="I777" s="2">
        <v>20.5</v>
      </c>
      <c r="J777">
        <f t="shared" si="44"/>
        <v>0</v>
      </c>
      <c r="K777">
        <f t="shared" si="45"/>
        <v>0</v>
      </c>
    </row>
    <row r="778" spans="2:11" x14ac:dyDescent="0.25">
      <c r="B778" s="1">
        <v>46005</v>
      </c>
      <c r="C778" t="s">
        <v>12</v>
      </c>
      <c r="E778" t="s">
        <v>22</v>
      </c>
      <c r="F778" t="s">
        <v>103</v>
      </c>
      <c r="G778">
        <v>0</v>
      </c>
      <c r="H778">
        <f t="shared" si="43"/>
        <v>0</v>
      </c>
      <c r="I778" s="2">
        <v>20.5</v>
      </c>
      <c r="J778">
        <f t="shared" si="44"/>
        <v>0</v>
      </c>
      <c r="K778">
        <f t="shared" si="45"/>
        <v>0</v>
      </c>
    </row>
    <row r="779" spans="2:11" x14ac:dyDescent="0.25">
      <c r="B779" s="1">
        <v>46005</v>
      </c>
      <c r="C779" t="s">
        <v>12</v>
      </c>
      <c r="E779" t="s">
        <v>23</v>
      </c>
      <c r="F779" t="s">
        <v>103</v>
      </c>
      <c r="G779">
        <v>0</v>
      </c>
      <c r="H779">
        <f t="shared" si="43"/>
        <v>0</v>
      </c>
      <c r="I779" s="2">
        <v>20.5</v>
      </c>
      <c r="J779">
        <f t="shared" si="44"/>
        <v>0</v>
      </c>
      <c r="K779">
        <f t="shared" si="45"/>
        <v>0</v>
      </c>
    </row>
    <row r="780" spans="2:11" x14ac:dyDescent="0.25">
      <c r="B780" s="1">
        <v>46005</v>
      </c>
      <c r="C780" t="s">
        <v>12</v>
      </c>
      <c r="E780" t="s">
        <v>24</v>
      </c>
      <c r="F780" t="s">
        <v>103</v>
      </c>
      <c r="G780">
        <v>0</v>
      </c>
      <c r="H780">
        <f t="shared" si="43"/>
        <v>0</v>
      </c>
      <c r="I780" s="2">
        <v>20.5</v>
      </c>
      <c r="J780">
        <f t="shared" si="44"/>
        <v>0</v>
      </c>
      <c r="K780">
        <f t="shared" si="45"/>
        <v>0</v>
      </c>
    </row>
    <row r="781" spans="2:11" x14ac:dyDescent="0.25">
      <c r="B781" s="1">
        <v>46005</v>
      </c>
      <c r="C781" t="s">
        <v>12</v>
      </c>
      <c r="E781" t="s">
        <v>25</v>
      </c>
      <c r="F781" t="s">
        <v>103</v>
      </c>
      <c r="G781">
        <v>5.0000000000000001E-3</v>
      </c>
      <c r="H781">
        <f t="shared" si="43"/>
        <v>6.2877999999999998</v>
      </c>
      <c r="I781" s="2">
        <v>20.5</v>
      </c>
      <c r="J781">
        <f t="shared" si="44"/>
        <v>128.8999</v>
      </c>
      <c r="K781">
        <f t="shared" si="45"/>
        <v>128.8999</v>
      </c>
    </row>
    <row r="782" spans="2:11" x14ac:dyDescent="0.25">
      <c r="B782" s="1">
        <v>46005</v>
      </c>
      <c r="C782" t="s">
        <v>12</v>
      </c>
      <c r="E782" t="s">
        <v>26</v>
      </c>
      <c r="F782" t="s">
        <v>103</v>
      </c>
      <c r="G782">
        <v>0</v>
      </c>
      <c r="H782">
        <f t="shared" si="43"/>
        <v>0</v>
      </c>
      <c r="I782" s="2">
        <v>20.5</v>
      </c>
      <c r="J782">
        <f t="shared" si="44"/>
        <v>0</v>
      </c>
      <c r="K782">
        <f t="shared" si="45"/>
        <v>0</v>
      </c>
    </row>
    <row r="783" spans="2:11" x14ac:dyDescent="0.25">
      <c r="B783" s="1">
        <v>46005</v>
      </c>
      <c r="C783" t="s">
        <v>12</v>
      </c>
      <c r="E783" t="s">
        <v>27</v>
      </c>
      <c r="F783" t="s">
        <v>103</v>
      </c>
      <c r="G783">
        <v>1E-3</v>
      </c>
      <c r="H783">
        <f t="shared" si="43"/>
        <v>4.6670799999999995</v>
      </c>
      <c r="I783" s="2">
        <v>20.5</v>
      </c>
      <c r="J783">
        <f t="shared" si="44"/>
        <v>95.675139999999985</v>
      </c>
      <c r="K783">
        <f t="shared" si="45"/>
        <v>95.675139999999985</v>
      </c>
    </row>
    <row r="784" spans="2:11" x14ac:dyDescent="0.25">
      <c r="B784" s="1">
        <v>46005</v>
      </c>
      <c r="C784" t="s">
        <v>12</v>
      </c>
      <c r="E784" t="s">
        <v>28</v>
      </c>
      <c r="F784" t="s">
        <v>103</v>
      </c>
      <c r="G784">
        <v>0</v>
      </c>
      <c r="H784">
        <f t="shared" si="43"/>
        <v>0</v>
      </c>
      <c r="I784" s="2">
        <v>20.5</v>
      </c>
      <c r="J784">
        <f t="shared" si="44"/>
        <v>0</v>
      </c>
      <c r="K784">
        <f t="shared" si="45"/>
        <v>0</v>
      </c>
    </row>
    <row r="785" spans="2:11" x14ac:dyDescent="0.25">
      <c r="B785" s="1">
        <v>46005</v>
      </c>
      <c r="C785" t="s">
        <v>12</v>
      </c>
      <c r="E785" t="s">
        <v>29</v>
      </c>
      <c r="F785" t="s">
        <v>103</v>
      </c>
      <c r="G785">
        <v>0</v>
      </c>
      <c r="H785">
        <f t="shared" si="43"/>
        <v>0</v>
      </c>
      <c r="I785" s="2">
        <v>20.5</v>
      </c>
      <c r="J785">
        <f t="shared" si="44"/>
        <v>0</v>
      </c>
      <c r="K785">
        <f t="shared" si="45"/>
        <v>0</v>
      </c>
    </row>
    <row r="786" spans="2:11" x14ac:dyDescent="0.25">
      <c r="B786" s="1">
        <v>46005</v>
      </c>
      <c r="C786" t="s">
        <v>30</v>
      </c>
      <c r="E786" t="s">
        <v>13</v>
      </c>
      <c r="F786" t="s">
        <v>103</v>
      </c>
      <c r="G786">
        <v>0</v>
      </c>
      <c r="H786">
        <f t="shared" si="43"/>
        <v>0</v>
      </c>
      <c r="I786" s="2">
        <v>20.5</v>
      </c>
      <c r="J786">
        <f t="shared" si="44"/>
        <v>0</v>
      </c>
      <c r="K786">
        <f t="shared" si="45"/>
        <v>0</v>
      </c>
    </row>
    <row r="787" spans="2:11" x14ac:dyDescent="0.25">
      <c r="B787" s="1">
        <v>46005</v>
      </c>
      <c r="C787" t="s">
        <v>30</v>
      </c>
      <c r="E787" t="s">
        <v>14</v>
      </c>
      <c r="F787" t="s">
        <v>103</v>
      </c>
      <c r="G787">
        <v>0</v>
      </c>
      <c r="H787">
        <f t="shared" si="43"/>
        <v>0</v>
      </c>
      <c r="I787" s="2">
        <v>20.5</v>
      </c>
      <c r="J787">
        <f t="shared" si="44"/>
        <v>0</v>
      </c>
      <c r="K787">
        <f t="shared" si="45"/>
        <v>0</v>
      </c>
    </row>
    <row r="788" spans="2:11" x14ac:dyDescent="0.25">
      <c r="B788" s="1">
        <v>46005</v>
      </c>
      <c r="C788" t="s">
        <v>30</v>
      </c>
      <c r="E788" t="s">
        <v>15</v>
      </c>
      <c r="F788" t="s">
        <v>103</v>
      </c>
      <c r="G788">
        <v>0</v>
      </c>
      <c r="H788">
        <f t="shared" si="43"/>
        <v>0</v>
      </c>
      <c r="I788" s="2">
        <v>20.5</v>
      </c>
      <c r="J788">
        <f t="shared" si="44"/>
        <v>0</v>
      </c>
      <c r="K788">
        <f t="shared" si="45"/>
        <v>0</v>
      </c>
    </row>
    <row r="789" spans="2:11" x14ac:dyDescent="0.25">
      <c r="B789" s="1">
        <v>46005</v>
      </c>
      <c r="C789" t="s">
        <v>30</v>
      </c>
      <c r="E789" t="s">
        <v>16</v>
      </c>
      <c r="F789" t="s">
        <v>103</v>
      </c>
      <c r="G789">
        <v>0</v>
      </c>
      <c r="H789">
        <f t="shared" si="43"/>
        <v>0</v>
      </c>
      <c r="I789" s="2">
        <v>20.5</v>
      </c>
      <c r="J789">
        <f t="shared" si="44"/>
        <v>0</v>
      </c>
      <c r="K789">
        <f t="shared" si="45"/>
        <v>0</v>
      </c>
    </row>
    <row r="790" spans="2:11" x14ac:dyDescent="0.25">
      <c r="B790" s="1">
        <v>46005</v>
      </c>
      <c r="C790" t="s">
        <v>30</v>
      </c>
      <c r="E790" t="s">
        <v>17</v>
      </c>
      <c r="F790" t="s">
        <v>103</v>
      </c>
      <c r="G790">
        <v>0</v>
      </c>
      <c r="H790">
        <f t="shared" si="43"/>
        <v>0</v>
      </c>
      <c r="I790" s="2">
        <v>20.5</v>
      </c>
      <c r="J790">
        <f t="shared" si="44"/>
        <v>0</v>
      </c>
      <c r="K790">
        <f t="shared" si="45"/>
        <v>0</v>
      </c>
    </row>
    <row r="791" spans="2:11" x14ac:dyDescent="0.25">
      <c r="B791" s="1">
        <v>46005</v>
      </c>
      <c r="C791" t="s">
        <v>30</v>
      </c>
      <c r="E791" t="s">
        <v>12</v>
      </c>
      <c r="F791" t="s">
        <v>103</v>
      </c>
      <c r="G791">
        <v>0</v>
      </c>
      <c r="H791">
        <f t="shared" si="43"/>
        <v>0</v>
      </c>
      <c r="I791" s="2">
        <v>20.5</v>
      </c>
      <c r="J791">
        <f t="shared" si="44"/>
        <v>0</v>
      </c>
      <c r="K791">
        <f t="shared" si="45"/>
        <v>0</v>
      </c>
    </row>
    <row r="792" spans="2:11" x14ac:dyDescent="0.25">
      <c r="B792" s="1">
        <v>46005</v>
      </c>
      <c r="C792" t="s">
        <v>30</v>
      </c>
      <c r="E792" t="s">
        <v>18</v>
      </c>
      <c r="F792" t="s">
        <v>103</v>
      </c>
      <c r="G792">
        <v>0</v>
      </c>
      <c r="H792">
        <f t="shared" si="43"/>
        <v>0</v>
      </c>
      <c r="I792" s="2">
        <v>20.5</v>
      </c>
      <c r="J792">
        <f t="shared" si="44"/>
        <v>0</v>
      </c>
      <c r="K792">
        <f t="shared" si="45"/>
        <v>0</v>
      </c>
    </row>
    <row r="793" spans="2:11" x14ac:dyDescent="0.25">
      <c r="B793" s="1">
        <v>46005</v>
      </c>
      <c r="C793" t="s">
        <v>30</v>
      </c>
      <c r="E793" t="s">
        <v>19</v>
      </c>
      <c r="F793" t="s">
        <v>103</v>
      </c>
      <c r="G793">
        <v>0</v>
      </c>
      <c r="H793">
        <f t="shared" si="43"/>
        <v>0</v>
      </c>
      <c r="I793" s="2">
        <v>20.5</v>
      </c>
      <c r="J793">
        <f t="shared" si="44"/>
        <v>0</v>
      </c>
      <c r="K793">
        <f t="shared" si="45"/>
        <v>0</v>
      </c>
    </row>
    <row r="794" spans="2:11" x14ac:dyDescent="0.25">
      <c r="B794" s="1">
        <v>46005</v>
      </c>
      <c r="C794" t="s">
        <v>30</v>
      </c>
      <c r="E794" t="s">
        <v>20</v>
      </c>
      <c r="F794" t="s">
        <v>103</v>
      </c>
      <c r="G794">
        <v>0</v>
      </c>
      <c r="H794">
        <f t="shared" si="43"/>
        <v>0</v>
      </c>
      <c r="I794" s="2">
        <v>20.5</v>
      </c>
      <c r="J794">
        <f t="shared" si="44"/>
        <v>0</v>
      </c>
      <c r="K794">
        <f t="shared" si="45"/>
        <v>0</v>
      </c>
    </row>
    <row r="795" spans="2:11" x14ac:dyDescent="0.25">
      <c r="B795" s="1">
        <v>46005</v>
      </c>
      <c r="C795" t="s">
        <v>30</v>
      </c>
      <c r="E795" t="s">
        <v>21</v>
      </c>
      <c r="F795" t="s">
        <v>103</v>
      </c>
      <c r="G795">
        <v>0</v>
      </c>
      <c r="H795">
        <f t="shared" si="43"/>
        <v>0</v>
      </c>
      <c r="I795" s="2">
        <v>20.5</v>
      </c>
      <c r="J795">
        <f t="shared" si="44"/>
        <v>0</v>
      </c>
      <c r="K795">
        <f t="shared" si="45"/>
        <v>0</v>
      </c>
    </row>
    <row r="796" spans="2:11" x14ac:dyDescent="0.25">
      <c r="B796" s="1">
        <v>46005</v>
      </c>
      <c r="C796" t="s">
        <v>30</v>
      </c>
      <c r="E796" t="s">
        <v>22</v>
      </c>
      <c r="F796" t="s">
        <v>103</v>
      </c>
      <c r="G796">
        <v>0</v>
      </c>
      <c r="H796">
        <f t="shared" si="43"/>
        <v>0</v>
      </c>
      <c r="I796" s="2">
        <v>20.5</v>
      </c>
      <c r="J796">
        <f t="shared" si="44"/>
        <v>0</v>
      </c>
      <c r="K796">
        <f t="shared" si="45"/>
        <v>0</v>
      </c>
    </row>
    <row r="797" spans="2:11" x14ac:dyDescent="0.25">
      <c r="B797" s="1">
        <v>46005</v>
      </c>
      <c r="C797" t="s">
        <v>30</v>
      </c>
      <c r="E797" t="s">
        <v>23</v>
      </c>
      <c r="F797" t="s">
        <v>103</v>
      </c>
      <c r="G797">
        <v>0</v>
      </c>
      <c r="H797">
        <f t="shared" ref="H797:H860" si="46">IF(G797=0, 0, ((405.18*G797)+4.2619))</f>
        <v>0</v>
      </c>
      <c r="I797" s="2">
        <v>20.5</v>
      </c>
      <c r="J797">
        <f t="shared" si="44"/>
        <v>0</v>
      </c>
      <c r="K797">
        <f t="shared" si="45"/>
        <v>0</v>
      </c>
    </row>
    <row r="798" spans="2:11" x14ac:dyDescent="0.25">
      <c r="B798" s="1">
        <v>46005</v>
      </c>
      <c r="C798" t="s">
        <v>30</v>
      </c>
      <c r="E798" t="s">
        <v>24</v>
      </c>
      <c r="F798" t="s">
        <v>103</v>
      </c>
      <c r="G798">
        <v>4.0000000000000001E-3</v>
      </c>
      <c r="H798">
        <f t="shared" si="46"/>
        <v>5.8826200000000002</v>
      </c>
      <c r="I798" s="2">
        <v>20.5</v>
      </c>
      <c r="J798">
        <f t="shared" ref="J798:J861" si="47">H798*I798</f>
        <v>120.59371</v>
      </c>
      <c r="K798">
        <f t="shared" ref="K798:K861" si="48">MAX(J798,0)</f>
        <v>120.59371</v>
      </c>
    </row>
    <row r="799" spans="2:11" x14ac:dyDescent="0.25">
      <c r="B799" s="1">
        <v>46005</v>
      </c>
      <c r="C799" t="s">
        <v>30</v>
      </c>
      <c r="E799" t="s">
        <v>25</v>
      </c>
      <c r="F799" t="s">
        <v>103</v>
      </c>
      <c r="G799">
        <v>0</v>
      </c>
      <c r="H799">
        <f t="shared" si="46"/>
        <v>0</v>
      </c>
      <c r="I799" s="2">
        <v>20.5</v>
      </c>
      <c r="J799">
        <f t="shared" si="47"/>
        <v>0</v>
      </c>
      <c r="K799">
        <f t="shared" si="48"/>
        <v>0</v>
      </c>
    </row>
    <row r="800" spans="2:11" x14ac:dyDescent="0.25">
      <c r="B800" s="1">
        <v>46005</v>
      </c>
      <c r="C800" t="s">
        <v>30</v>
      </c>
      <c r="E800" t="s">
        <v>26</v>
      </c>
      <c r="F800" t="s">
        <v>103</v>
      </c>
      <c r="G800">
        <v>0</v>
      </c>
      <c r="H800">
        <f t="shared" si="46"/>
        <v>0</v>
      </c>
      <c r="I800" s="2">
        <v>20.5</v>
      </c>
      <c r="J800">
        <f t="shared" si="47"/>
        <v>0</v>
      </c>
      <c r="K800">
        <f t="shared" si="48"/>
        <v>0</v>
      </c>
    </row>
    <row r="801" spans="2:11" x14ac:dyDescent="0.25">
      <c r="B801" s="1">
        <v>46005</v>
      </c>
      <c r="C801" t="s">
        <v>30</v>
      </c>
      <c r="E801" t="s">
        <v>27</v>
      </c>
      <c r="F801" t="s">
        <v>103</v>
      </c>
      <c r="G801">
        <v>0</v>
      </c>
      <c r="H801">
        <f t="shared" si="46"/>
        <v>0</v>
      </c>
      <c r="I801" s="2">
        <v>20.5</v>
      </c>
      <c r="J801">
        <f t="shared" si="47"/>
        <v>0</v>
      </c>
      <c r="K801">
        <f t="shared" si="48"/>
        <v>0</v>
      </c>
    </row>
    <row r="802" spans="2:11" x14ac:dyDescent="0.25">
      <c r="B802" s="1">
        <v>46005</v>
      </c>
      <c r="C802" t="s">
        <v>30</v>
      </c>
      <c r="E802" t="s">
        <v>28</v>
      </c>
      <c r="F802" t="s">
        <v>103</v>
      </c>
      <c r="G802">
        <v>3.0000000000000001E-3</v>
      </c>
      <c r="H802">
        <f t="shared" si="46"/>
        <v>5.4774399999999996</v>
      </c>
      <c r="I802" s="2">
        <v>20.5</v>
      </c>
      <c r="J802">
        <f t="shared" si="47"/>
        <v>112.28751999999999</v>
      </c>
      <c r="K802">
        <f t="shared" si="48"/>
        <v>112.28751999999999</v>
      </c>
    </row>
    <row r="803" spans="2:11" x14ac:dyDescent="0.25">
      <c r="B803" s="1">
        <v>46005</v>
      </c>
      <c r="C803" t="s">
        <v>30</v>
      </c>
      <c r="E803" t="s">
        <v>29</v>
      </c>
      <c r="F803" t="s">
        <v>103</v>
      </c>
      <c r="G803">
        <v>0</v>
      </c>
      <c r="H803">
        <f t="shared" si="46"/>
        <v>0</v>
      </c>
      <c r="I803" s="2">
        <v>20.5</v>
      </c>
      <c r="J803">
        <f t="shared" si="47"/>
        <v>0</v>
      </c>
      <c r="K803">
        <f t="shared" si="48"/>
        <v>0</v>
      </c>
    </row>
    <row r="804" spans="2:11" x14ac:dyDescent="0.25">
      <c r="B804" s="1">
        <v>46004</v>
      </c>
      <c r="C804" t="s">
        <v>93</v>
      </c>
      <c r="E804" t="s">
        <v>73</v>
      </c>
      <c r="F804" t="s">
        <v>103</v>
      </c>
      <c r="G804">
        <v>1E-3</v>
      </c>
      <c r="H804">
        <f t="shared" si="46"/>
        <v>4.6670799999999995</v>
      </c>
      <c r="I804" s="2">
        <v>20.5</v>
      </c>
      <c r="J804">
        <f t="shared" si="47"/>
        <v>95.675139999999985</v>
      </c>
      <c r="K804">
        <f t="shared" si="48"/>
        <v>95.675139999999985</v>
      </c>
    </row>
    <row r="805" spans="2:11" x14ac:dyDescent="0.25">
      <c r="B805" s="1">
        <v>46004</v>
      </c>
      <c r="C805" t="s">
        <v>93</v>
      </c>
      <c r="E805" t="s">
        <v>74</v>
      </c>
      <c r="F805" t="s">
        <v>103</v>
      </c>
      <c r="G805">
        <v>0</v>
      </c>
      <c r="H805">
        <f t="shared" si="46"/>
        <v>0</v>
      </c>
      <c r="I805" s="2">
        <v>20.5</v>
      </c>
      <c r="J805">
        <f t="shared" si="47"/>
        <v>0</v>
      </c>
      <c r="K805">
        <f t="shared" si="48"/>
        <v>0</v>
      </c>
    </row>
    <row r="806" spans="2:11" x14ac:dyDescent="0.25">
      <c r="B806" s="1">
        <v>46004</v>
      </c>
      <c r="C806" t="s">
        <v>93</v>
      </c>
      <c r="E806" t="s">
        <v>75</v>
      </c>
      <c r="F806" t="s">
        <v>103</v>
      </c>
      <c r="G806">
        <v>2E-3</v>
      </c>
      <c r="H806">
        <f t="shared" si="46"/>
        <v>5.07226</v>
      </c>
      <c r="I806" s="2">
        <v>20.5</v>
      </c>
      <c r="J806">
        <f t="shared" si="47"/>
        <v>103.98133</v>
      </c>
      <c r="K806">
        <f t="shared" si="48"/>
        <v>103.98133</v>
      </c>
    </row>
    <row r="807" spans="2:11" x14ac:dyDescent="0.25">
      <c r="B807" s="1">
        <v>46004</v>
      </c>
      <c r="C807" t="s">
        <v>93</v>
      </c>
      <c r="E807" t="s">
        <v>76</v>
      </c>
      <c r="F807" t="s">
        <v>103</v>
      </c>
      <c r="G807">
        <v>0</v>
      </c>
      <c r="H807">
        <f t="shared" si="46"/>
        <v>0</v>
      </c>
      <c r="I807" s="2">
        <v>20.5</v>
      </c>
      <c r="J807">
        <f t="shared" si="47"/>
        <v>0</v>
      </c>
      <c r="K807">
        <f t="shared" si="48"/>
        <v>0</v>
      </c>
    </row>
    <row r="808" spans="2:11" x14ac:dyDescent="0.25">
      <c r="B808" s="1">
        <v>46004</v>
      </c>
      <c r="C808" t="s">
        <v>93</v>
      </c>
      <c r="E808" t="s">
        <v>77</v>
      </c>
      <c r="F808" t="s">
        <v>103</v>
      </c>
      <c r="G808">
        <v>0</v>
      </c>
      <c r="H808">
        <f t="shared" si="46"/>
        <v>0</v>
      </c>
      <c r="I808" s="2">
        <v>20.5</v>
      </c>
      <c r="J808">
        <f t="shared" si="47"/>
        <v>0</v>
      </c>
      <c r="K808">
        <f t="shared" si="48"/>
        <v>0</v>
      </c>
    </row>
    <row r="809" spans="2:11" x14ac:dyDescent="0.25">
      <c r="B809" s="1">
        <v>46004</v>
      </c>
      <c r="C809" t="s">
        <v>93</v>
      </c>
      <c r="E809" t="s">
        <v>78</v>
      </c>
      <c r="F809" t="s">
        <v>103</v>
      </c>
      <c r="G809">
        <v>0</v>
      </c>
      <c r="H809">
        <f t="shared" si="46"/>
        <v>0</v>
      </c>
      <c r="I809" s="2">
        <v>20.5</v>
      </c>
      <c r="J809">
        <f t="shared" si="47"/>
        <v>0</v>
      </c>
      <c r="K809">
        <f t="shared" si="48"/>
        <v>0</v>
      </c>
    </row>
    <row r="810" spans="2:11" x14ac:dyDescent="0.25">
      <c r="B810" s="1">
        <v>46004</v>
      </c>
      <c r="C810" t="s">
        <v>93</v>
      </c>
      <c r="E810" t="s">
        <v>79</v>
      </c>
      <c r="F810" t="s">
        <v>103</v>
      </c>
      <c r="G810">
        <v>0</v>
      </c>
      <c r="H810">
        <f t="shared" si="46"/>
        <v>0</v>
      </c>
      <c r="I810" s="2">
        <v>20.5</v>
      </c>
      <c r="J810">
        <f t="shared" si="47"/>
        <v>0</v>
      </c>
      <c r="K810">
        <f t="shared" si="48"/>
        <v>0</v>
      </c>
    </row>
    <row r="811" spans="2:11" x14ac:dyDescent="0.25">
      <c r="B811" s="1">
        <v>46004</v>
      </c>
      <c r="C811" t="s">
        <v>93</v>
      </c>
      <c r="E811" t="s">
        <v>80</v>
      </c>
      <c r="F811" t="s">
        <v>103</v>
      </c>
      <c r="G811">
        <v>0</v>
      </c>
      <c r="H811">
        <f t="shared" si="46"/>
        <v>0</v>
      </c>
      <c r="I811" s="2">
        <v>20.5</v>
      </c>
      <c r="J811">
        <f t="shared" si="47"/>
        <v>0</v>
      </c>
      <c r="K811">
        <f t="shared" si="48"/>
        <v>0</v>
      </c>
    </row>
    <row r="812" spans="2:11" x14ac:dyDescent="0.25">
      <c r="B812" s="1">
        <v>46004</v>
      </c>
      <c r="C812" t="s">
        <v>93</v>
      </c>
      <c r="E812" t="s">
        <v>81</v>
      </c>
      <c r="F812" t="s">
        <v>103</v>
      </c>
      <c r="G812">
        <v>2E-3</v>
      </c>
      <c r="H812">
        <f t="shared" si="46"/>
        <v>5.07226</v>
      </c>
      <c r="I812" s="2">
        <v>20.5</v>
      </c>
      <c r="J812">
        <f t="shared" si="47"/>
        <v>103.98133</v>
      </c>
      <c r="K812">
        <f t="shared" si="48"/>
        <v>103.98133</v>
      </c>
    </row>
    <row r="813" spans="2:11" x14ac:dyDescent="0.25">
      <c r="B813" s="1">
        <v>46004</v>
      </c>
      <c r="C813" t="s">
        <v>93</v>
      </c>
      <c r="D813" t="s">
        <v>98</v>
      </c>
      <c r="E813" t="s">
        <v>95</v>
      </c>
      <c r="F813" t="s">
        <v>103</v>
      </c>
      <c r="G813">
        <v>0</v>
      </c>
      <c r="H813">
        <f t="shared" si="46"/>
        <v>0</v>
      </c>
      <c r="I813" s="2">
        <v>1</v>
      </c>
      <c r="J813">
        <f t="shared" si="47"/>
        <v>0</v>
      </c>
      <c r="K813">
        <f t="shared" si="48"/>
        <v>0</v>
      </c>
    </row>
    <row r="814" spans="2:11" x14ac:dyDescent="0.25">
      <c r="B814" s="1">
        <v>46004</v>
      </c>
      <c r="C814" t="s">
        <v>93</v>
      </c>
      <c r="D814" t="s">
        <v>98</v>
      </c>
      <c r="E814" t="s">
        <v>96</v>
      </c>
      <c r="F814" t="s">
        <v>103</v>
      </c>
      <c r="G814">
        <v>0</v>
      </c>
      <c r="H814">
        <f t="shared" si="46"/>
        <v>0</v>
      </c>
      <c r="I814" s="2">
        <v>1</v>
      </c>
      <c r="J814">
        <f t="shared" si="47"/>
        <v>0</v>
      </c>
      <c r="K814">
        <f t="shared" si="48"/>
        <v>0</v>
      </c>
    </row>
    <row r="815" spans="2:11" x14ac:dyDescent="0.25">
      <c r="B815" s="1">
        <v>46004</v>
      </c>
      <c r="C815" t="s">
        <v>93</v>
      </c>
      <c r="D815" t="s">
        <v>98</v>
      </c>
      <c r="E815" t="s">
        <v>97</v>
      </c>
      <c r="F815" t="s">
        <v>103</v>
      </c>
      <c r="G815">
        <v>2E-3</v>
      </c>
      <c r="H815">
        <f t="shared" si="46"/>
        <v>5.07226</v>
      </c>
      <c r="I815" s="2">
        <v>1</v>
      </c>
      <c r="J815">
        <f t="shared" si="47"/>
        <v>5.07226</v>
      </c>
      <c r="K815">
        <f t="shared" si="48"/>
        <v>5.07226</v>
      </c>
    </row>
    <row r="816" spans="2:11" x14ac:dyDescent="0.25">
      <c r="B816" s="1">
        <v>46004</v>
      </c>
      <c r="C816" t="s">
        <v>94</v>
      </c>
      <c r="E816" t="s">
        <v>73</v>
      </c>
      <c r="F816" t="s">
        <v>103</v>
      </c>
      <c r="G816">
        <v>0</v>
      </c>
      <c r="H816">
        <f t="shared" si="46"/>
        <v>0</v>
      </c>
      <c r="I816" s="2">
        <v>20.5</v>
      </c>
      <c r="J816">
        <f t="shared" si="47"/>
        <v>0</v>
      </c>
      <c r="K816">
        <f t="shared" si="48"/>
        <v>0</v>
      </c>
    </row>
    <row r="817" spans="2:11" x14ac:dyDescent="0.25">
      <c r="B817" s="1">
        <v>46004</v>
      </c>
      <c r="C817" t="s">
        <v>94</v>
      </c>
      <c r="E817" t="s">
        <v>74</v>
      </c>
      <c r="F817" t="s">
        <v>103</v>
      </c>
      <c r="G817">
        <v>0</v>
      </c>
      <c r="H817">
        <f t="shared" si="46"/>
        <v>0</v>
      </c>
      <c r="I817" s="2">
        <v>20.5</v>
      </c>
      <c r="J817">
        <f t="shared" si="47"/>
        <v>0</v>
      </c>
      <c r="K817">
        <f t="shared" si="48"/>
        <v>0</v>
      </c>
    </row>
    <row r="818" spans="2:11" x14ac:dyDescent="0.25">
      <c r="B818" s="1">
        <v>46004</v>
      </c>
      <c r="C818" t="s">
        <v>94</v>
      </c>
      <c r="E818" t="s">
        <v>75</v>
      </c>
      <c r="F818" t="s">
        <v>103</v>
      </c>
      <c r="G818">
        <v>2E-3</v>
      </c>
      <c r="H818">
        <f t="shared" si="46"/>
        <v>5.07226</v>
      </c>
      <c r="I818" s="2">
        <v>20.5</v>
      </c>
      <c r="J818">
        <f t="shared" si="47"/>
        <v>103.98133</v>
      </c>
      <c r="K818">
        <f t="shared" si="48"/>
        <v>103.98133</v>
      </c>
    </row>
    <row r="819" spans="2:11" x14ac:dyDescent="0.25">
      <c r="B819" s="1">
        <v>46004</v>
      </c>
      <c r="C819" t="s">
        <v>94</v>
      </c>
      <c r="E819" t="s">
        <v>76</v>
      </c>
      <c r="F819" t="s">
        <v>103</v>
      </c>
      <c r="G819">
        <v>0</v>
      </c>
      <c r="H819">
        <f t="shared" si="46"/>
        <v>0</v>
      </c>
      <c r="I819" s="2">
        <v>20.5</v>
      </c>
      <c r="J819">
        <f t="shared" si="47"/>
        <v>0</v>
      </c>
      <c r="K819">
        <f t="shared" si="48"/>
        <v>0</v>
      </c>
    </row>
    <row r="820" spans="2:11" x14ac:dyDescent="0.25">
      <c r="B820" s="1">
        <v>46004</v>
      </c>
      <c r="C820" t="s">
        <v>94</v>
      </c>
      <c r="E820" t="s">
        <v>77</v>
      </c>
      <c r="F820" t="s">
        <v>103</v>
      </c>
      <c r="G820">
        <v>1E-3</v>
      </c>
      <c r="H820">
        <f t="shared" si="46"/>
        <v>4.6670799999999995</v>
      </c>
      <c r="I820" s="2">
        <v>20.5</v>
      </c>
      <c r="J820">
        <f t="shared" si="47"/>
        <v>95.675139999999985</v>
      </c>
      <c r="K820">
        <f t="shared" si="48"/>
        <v>95.675139999999985</v>
      </c>
    </row>
    <row r="821" spans="2:11" x14ac:dyDescent="0.25">
      <c r="B821" s="1">
        <v>46004</v>
      </c>
      <c r="C821" t="s">
        <v>94</v>
      </c>
      <c r="E821" t="s">
        <v>78</v>
      </c>
      <c r="F821" t="s">
        <v>103</v>
      </c>
      <c r="G821">
        <v>0</v>
      </c>
      <c r="H821">
        <f t="shared" si="46"/>
        <v>0</v>
      </c>
      <c r="I821" s="2">
        <v>20.5</v>
      </c>
      <c r="J821">
        <f t="shared" si="47"/>
        <v>0</v>
      </c>
      <c r="K821">
        <f t="shared" si="48"/>
        <v>0</v>
      </c>
    </row>
    <row r="822" spans="2:11" x14ac:dyDescent="0.25">
      <c r="B822" s="1">
        <v>46004</v>
      </c>
      <c r="C822" t="s">
        <v>94</v>
      </c>
      <c r="E822" t="s">
        <v>79</v>
      </c>
      <c r="F822" t="s">
        <v>103</v>
      </c>
      <c r="G822">
        <v>0</v>
      </c>
      <c r="H822">
        <f t="shared" si="46"/>
        <v>0</v>
      </c>
      <c r="I822" s="2">
        <v>20.5</v>
      </c>
      <c r="J822">
        <f t="shared" si="47"/>
        <v>0</v>
      </c>
      <c r="K822">
        <f t="shared" si="48"/>
        <v>0</v>
      </c>
    </row>
    <row r="823" spans="2:11" x14ac:dyDescent="0.25">
      <c r="B823" s="1">
        <v>46004</v>
      </c>
      <c r="C823" t="s">
        <v>94</v>
      </c>
      <c r="E823" t="s">
        <v>80</v>
      </c>
      <c r="F823" t="s">
        <v>103</v>
      </c>
      <c r="G823">
        <v>0</v>
      </c>
      <c r="H823">
        <f t="shared" si="46"/>
        <v>0</v>
      </c>
      <c r="I823" s="2">
        <v>20.5</v>
      </c>
      <c r="J823">
        <f t="shared" si="47"/>
        <v>0</v>
      </c>
      <c r="K823">
        <f t="shared" si="48"/>
        <v>0</v>
      </c>
    </row>
    <row r="824" spans="2:11" x14ac:dyDescent="0.25">
      <c r="B824" s="1">
        <v>46004</v>
      </c>
      <c r="C824" t="s">
        <v>94</v>
      </c>
      <c r="E824" t="s">
        <v>81</v>
      </c>
      <c r="F824" t="s">
        <v>103</v>
      </c>
      <c r="G824">
        <v>0</v>
      </c>
      <c r="H824">
        <f t="shared" si="46"/>
        <v>0</v>
      </c>
      <c r="I824" s="2">
        <v>20.5</v>
      </c>
      <c r="J824">
        <f t="shared" si="47"/>
        <v>0</v>
      </c>
      <c r="K824">
        <f t="shared" si="48"/>
        <v>0</v>
      </c>
    </row>
    <row r="825" spans="2:11" x14ac:dyDescent="0.25">
      <c r="B825" s="1">
        <v>46004</v>
      </c>
      <c r="C825" t="s">
        <v>94</v>
      </c>
      <c r="D825" t="s">
        <v>98</v>
      </c>
      <c r="E825" t="s">
        <v>95</v>
      </c>
      <c r="F825" t="s">
        <v>103</v>
      </c>
      <c r="G825">
        <v>1.6E-2</v>
      </c>
      <c r="H825">
        <f t="shared" si="46"/>
        <v>10.74478</v>
      </c>
      <c r="I825" s="2">
        <v>1</v>
      </c>
      <c r="J825">
        <f t="shared" si="47"/>
        <v>10.74478</v>
      </c>
      <c r="K825">
        <f t="shared" si="48"/>
        <v>10.74478</v>
      </c>
    </row>
    <row r="826" spans="2:11" x14ac:dyDescent="0.25">
      <c r="B826" s="1">
        <v>46004</v>
      </c>
      <c r="C826" t="s">
        <v>94</v>
      </c>
      <c r="D826" t="s">
        <v>98</v>
      </c>
      <c r="E826" t="s">
        <v>96</v>
      </c>
      <c r="F826" t="s">
        <v>103</v>
      </c>
      <c r="G826">
        <v>6.0000000000000001E-3</v>
      </c>
      <c r="H826">
        <f t="shared" si="46"/>
        <v>6.6929800000000004</v>
      </c>
      <c r="I826" s="2">
        <v>1</v>
      </c>
      <c r="J826">
        <f t="shared" si="47"/>
        <v>6.6929800000000004</v>
      </c>
      <c r="K826">
        <f t="shared" si="48"/>
        <v>6.6929800000000004</v>
      </c>
    </row>
    <row r="827" spans="2:11" x14ac:dyDescent="0.25">
      <c r="B827" s="1">
        <v>46004</v>
      </c>
      <c r="C827" t="s">
        <v>94</v>
      </c>
      <c r="D827" t="s">
        <v>98</v>
      </c>
      <c r="E827" t="s">
        <v>97</v>
      </c>
      <c r="F827" t="s">
        <v>103</v>
      </c>
      <c r="G827">
        <v>0</v>
      </c>
      <c r="H827">
        <f t="shared" si="46"/>
        <v>0</v>
      </c>
      <c r="I827" s="2">
        <v>1</v>
      </c>
      <c r="J827">
        <f t="shared" si="47"/>
        <v>0</v>
      </c>
      <c r="K827">
        <f t="shared" si="48"/>
        <v>0</v>
      </c>
    </row>
    <row r="828" spans="2:11" x14ac:dyDescent="0.25">
      <c r="B828" s="4">
        <v>46080</v>
      </c>
      <c r="C828" t="s">
        <v>12</v>
      </c>
      <c r="E828" t="s">
        <v>13</v>
      </c>
      <c r="F828" t="s">
        <v>103</v>
      </c>
      <c r="G828">
        <v>0</v>
      </c>
      <c r="H828">
        <f t="shared" si="46"/>
        <v>0</v>
      </c>
      <c r="I828" s="2">
        <v>20.5</v>
      </c>
      <c r="J828">
        <f t="shared" si="47"/>
        <v>0</v>
      </c>
      <c r="K828">
        <f t="shared" si="48"/>
        <v>0</v>
      </c>
    </row>
    <row r="829" spans="2:11" x14ac:dyDescent="0.25">
      <c r="B829" s="4">
        <v>46080</v>
      </c>
      <c r="C829" t="s">
        <v>12</v>
      </c>
      <c r="E829" t="s">
        <v>14</v>
      </c>
      <c r="F829" t="s">
        <v>103</v>
      </c>
      <c r="G829">
        <v>0</v>
      </c>
      <c r="H829">
        <f t="shared" si="46"/>
        <v>0</v>
      </c>
      <c r="I829" s="2">
        <v>20.5</v>
      </c>
      <c r="J829">
        <f t="shared" si="47"/>
        <v>0</v>
      </c>
      <c r="K829">
        <f t="shared" si="48"/>
        <v>0</v>
      </c>
    </row>
    <row r="830" spans="2:11" x14ac:dyDescent="0.25">
      <c r="B830" s="4">
        <v>46080</v>
      </c>
      <c r="C830" t="s">
        <v>12</v>
      </c>
      <c r="E830" t="s">
        <v>15</v>
      </c>
      <c r="F830" t="s">
        <v>103</v>
      </c>
      <c r="G830">
        <v>0</v>
      </c>
      <c r="H830">
        <f t="shared" si="46"/>
        <v>0</v>
      </c>
      <c r="I830" s="2">
        <v>20.5</v>
      </c>
      <c r="J830">
        <f t="shared" si="47"/>
        <v>0</v>
      </c>
      <c r="K830">
        <f t="shared" si="48"/>
        <v>0</v>
      </c>
    </row>
    <row r="831" spans="2:11" x14ac:dyDescent="0.25">
      <c r="B831" s="4">
        <v>46080</v>
      </c>
      <c r="C831" t="s">
        <v>12</v>
      </c>
      <c r="E831" t="s">
        <v>16</v>
      </c>
      <c r="F831" t="s">
        <v>103</v>
      </c>
      <c r="G831">
        <v>0</v>
      </c>
      <c r="H831">
        <f t="shared" si="46"/>
        <v>0</v>
      </c>
      <c r="I831" s="2">
        <v>20.5</v>
      </c>
      <c r="J831">
        <f t="shared" si="47"/>
        <v>0</v>
      </c>
      <c r="K831">
        <f t="shared" si="48"/>
        <v>0</v>
      </c>
    </row>
    <row r="832" spans="2:11" x14ac:dyDescent="0.25">
      <c r="B832" s="4">
        <v>46080</v>
      </c>
      <c r="C832" t="s">
        <v>12</v>
      </c>
      <c r="E832" t="s">
        <v>17</v>
      </c>
      <c r="F832" t="s">
        <v>103</v>
      </c>
      <c r="G832">
        <v>0</v>
      </c>
      <c r="H832">
        <f t="shared" si="46"/>
        <v>0</v>
      </c>
      <c r="I832" s="2">
        <v>20.5</v>
      </c>
      <c r="J832">
        <f t="shared" si="47"/>
        <v>0</v>
      </c>
      <c r="K832">
        <f t="shared" si="48"/>
        <v>0</v>
      </c>
    </row>
    <row r="833" spans="2:11" x14ac:dyDescent="0.25">
      <c r="B833" s="4">
        <v>46080</v>
      </c>
      <c r="C833" t="s">
        <v>12</v>
      </c>
      <c r="E833" t="s">
        <v>12</v>
      </c>
      <c r="F833" t="s">
        <v>103</v>
      </c>
      <c r="G833">
        <v>0</v>
      </c>
      <c r="H833">
        <f t="shared" si="46"/>
        <v>0</v>
      </c>
      <c r="I833" s="2">
        <v>20.5</v>
      </c>
      <c r="J833">
        <f t="shared" si="47"/>
        <v>0</v>
      </c>
      <c r="K833">
        <f t="shared" si="48"/>
        <v>0</v>
      </c>
    </row>
    <row r="834" spans="2:11" x14ac:dyDescent="0.25">
      <c r="B834" s="4">
        <v>46080</v>
      </c>
      <c r="C834" t="s">
        <v>12</v>
      </c>
      <c r="E834" t="s">
        <v>18</v>
      </c>
      <c r="F834" t="s">
        <v>103</v>
      </c>
      <c r="G834">
        <v>0</v>
      </c>
      <c r="H834">
        <f t="shared" si="46"/>
        <v>0</v>
      </c>
      <c r="I834" s="2">
        <v>20.5</v>
      </c>
      <c r="J834">
        <f t="shared" si="47"/>
        <v>0</v>
      </c>
      <c r="K834">
        <f t="shared" si="48"/>
        <v>0</v>
      </c>
    </row>
    <row r="835" spans="2:11" x14ac:dyDescent="0.25">
      <c r="B835" s="4">
        <v>46080</v>
      </c>
      <c r="C835" t="s">
        <v>12</v>
      </c>
      <c r="E835" t="s">
        <v>19</v>
      </c>
      <c r="F835" t="s">
        <v>103</v>
      </c>
      <c r="G835">
        <v>0</v>
      </c>
      <c r="H835">
        <f t="shared" si="46"/>
        <v>0</v>
      </c>
      <c r="I835" s="2">
        <v>20.5</v>
      </c>
      <c r="J835">
        <f t="shared" si="47"/>
        <v>0</v>
      </c>
      <c r="K835">
        <f t="shared" si="48"/>
        <v>0</v>
      </c>
    </row>
    <row r="836" spans="2:11" x14ac:dyDescent="0.25">
      <c r="B836" s="4">
        <v>46080</v>
      </c>
      <c r="C836" t="s">
        <v>12</v>
      </c>
      <c r="E836" t="s">
        <v>20</v>
      </c>
      <c r="F836" t="s">
        <v>103</v>
      </c>
      <c r="G836">
        <v>0</v>
      </c>
      <c r="H836">
        <f t="shared" si="46"/>
        <v>0</v>
      </c>
      <c r="I836" s="2">
        <v>20.5</v>
      </c>
      <c r="J836">
        <f t="shared" si="47"/>
        <v>0</v>
      </c>
      <c r="K836">
        <f t="shared" si="48"/>
        <v>0</v>
      </c>
    </row>
    <row r="837" spans="2:11" x14ac:dyDescent="0.25">
      <c r="B837" s="4">
        <v>46080</v>
      </c>
      <c r="C837" t="s">
        <v>12</v>
      </c>
      <c r="E837" t="s">
        <v>21</v>
      </c>
      <c r="F837" t="s">
        <v>103</v>
      </c>
      <c r="G837">
        <v>0</v>
      </c>
      <c r="H837">
        <f t="shared" si="46"/>
        <v>0</v>
      </c>
      <c r="I837" s="2">
        <v>20.5</v>
      </c>
      <c r="J837">
        <f t="shared" si="47"/>
        <v>0</v>
      </c>
      <c r="K837">
        <f t="shared" si="48"/>
        <v>0</v>
      </c>
    </row>
    <row r="838" spans="2:11" x14ac:dyDescent="0.25">
      <c r="B838" s="4">
        <v>46080</v>
      </c>
      <c r="C838" t="s">
        <v>12</v>
      </c>
      <c r="E838" t="s">
        <v>22</v>
      </c>
      <c r="F838" t="s">
        <v>103</v>
      </c>
      <c r="G838">
        <v>0</v>
      </c>
      <c r="H838">
        <f t="shared" si="46"/>
        <v>0</v>
      </c>
      <c r="I838" s="2">
        <v>20.5</v>
      </c>
      <c r="J838">
        <f t="shared" si="47"/>
        <v>0</v>
      </c>
      <c r="K838">
        <f t="shared" si="48"/>
        <v>0</v>
      </c>
    </row>
    <row r="839" spans="2:11" x14ac:dyDescent="0.25">
      <c r="B839" s="4">
        <v>46080</v>
      </c>
      <c r="C839" t="s">
        <v>12</v>
      </c>
      <c r="E839" t="s">
        <v>23</v>
      </c>
      <c r="F839" t="s">
        <v>103</v>
      </c>
      <c r="G839">
        <v>0</v>
      </c>
      <c r="H839">
        <f t="shared" si="46"/>
        <v>0</v>
      </c>
      <c r="I839" s="2">
        <v>20.5</v>
      </c>
      <c r="J839">
        <f t="shared" si="47"/>
        <v>0</v>
      </c>
      <c r="K839">
        <f t="shared" si="48"/>
        <v>0</v>
      </c>
    </row>
    <row r="840" spans="2:11" x14ac:dyDescent="0.25">
      <c r="B840" s="4">
        <v>46080</v>
      </c>
      <c r="C840" t="s">
        <v>12</v>
      </c>
      <c r="E840" t="s">
        <v>24</v>
      </c>
      <c r="F840" t="s">
        <v>103</v>
      </c>
      <c r="G840">
        <v>0</v>
      </c>
      <c r="H840">
        <f t="shared" si="46"/>
        <v>0</v>
      </c>
      <c r="I840" s="2">
        <v>20.5</v>
      </c>
      <c r="J840">
        <f t="shared" si="47"/>
        <v>0</v>
      </c>
      <c r="K840">
        <f t="shared" si="48"/>
        <v>0</v>
      </c>
    </row>
    <row r="841" spans="2:11" x14ac:dyDescent="0.25">
      <c r="B841" s="4">
        <v>46080</v>
      </c>
      <c r="C841" t="s">
        <v>12</v>
      </c>
      <c r="E841" t="s">
        <v>25</v>
      </c>
      <c r="F841" t="s">
        <v>103</v>
      </c>
      <c r="G841">
        <v>0</v>
      </c>
      <c r="H841">
        <f t="shared" si="46"/>
        <v>0</v>
      </c>
      <c r="I841" s="2">
        <v>20.5</v>
      </c>
      <c r="J841">
        <f t="shared" si="47"/>
        <v>0</v>
      </c>
      <c r="K841">
        <f t="shared" si="48"/>
        <v>0</v>
      </c>
    </row>
    <row r="842" spans="2:11" x14ac:dyDescent="0.25">
      <c r="B842" s="4">
        <v>46080</v>
      </c>
      <c r="C842" t="s">
        <v>12</v>
      </c>
      <c r="E842" t="s">
        <v>26</v>
      </c>
      <c r="F842" t="s">
        <v>103</v>
      </c>
      <c r="G842">
        <v>0</v>
      </c>
      <c r="H842">
        <f t="shared" si="46"/>
        <v>0</v>
      </c>
      <c r="I842" s="2">
        <v>20.5</v>
      </c>
      <c r="J842">
        <f t="shared" si="47"/>
        <v>0</v>
      </c>
      <c r="K842">
        <f t="shared" si="48"/>
        <v>0</v>
      </c>
    </row>
    <row r="843" spans="2:11" x14ac:dyDescent="0.25">
      <c r="B843" s="4">
        <v>46080</v>
      </c>
      <c r="C843" t="s">
        <v>12</v>
      </c>
      <c r="E843" t="s">
        <v>27</v>
      </c>
      <c r="F843" t="s">
        <v>103</v>
      </c>
      <c r="G843">
        <v>0</v>
      </c>
      <c r="H843">
        <f t="shared" si="46"/>
        <v>0</v>
      </c>
      <c r="I843" s="2">
        <v>20.5</v>
      </c>
      <c r="J843">
        <f t="shared" si="47"/>
        <v>0</v>
      </c>
      <c r="K843">
        <f t="shared" si="48"/>
        <v>0</v>
      </c>
    </row>
    <row r="844" spans="2:11" x14ac:dyDescent="0.25">
      <c r="B844" s="4">
        <v>46080</v>
      </c>
      <c r="C844" t="s">
        <v>12</v>
      </c>
      <c r="E844" t="s">
        <v>28</v>
      </c>
      <c r="F844" t="s">
        <v>103</v>
      </c>
      <c r="G844">
        <v>0</v>
      </c>
      <c r="H844">
        <f t="shared" si="46"/>
        <v>0</v>
      </c>
      <c r="I844" s="2">
        <v>20.5</v>
      </c>
      <c r="J844">
        <f t="shared" si="47"/>
        <v>0</v>
      </c>
      <c r="K844">
        <f t="shared" si="48"/>
        <v>0</v>
      </c>
    </row>
    <row r="845" spans="2:11" x14ac:dyDescent="0.25">
      <c r="B845" s="4">
        <v>46080</v>
      </c>
      <c r="C845" t="s">
        <v>12</v>
      </c>
      <c r="E845" t="s">
        <v>29</v>
      </c>
      <c r="F845" t="s">
        <v>103</v>
      </c>
      <c r="G845">
        <v>0</v>
      </c>
      <c r="H845">
        <f t="shared" si="46"/>
        <v>0</v>
      </c>
      <c r="I845" s="2">
        <v>20.5</v>
      </c>
      <c r="J845">
        <f t="shared" si="47"/>
        <v>0</v>
      </c>
      <c r="K845">
        <f t="shared" si="48"/>
        <v>0</v>
      </c>
    </row>
    <row r="846" spans="2:11" x14ac:dyDescent="0.25">
      <c r="B846" s="4">
        <v>46080</v>
      </c>
      <c r="C846" t="s">
        <v>30</v>
      </c>
      <c r="E846" t="s">
        <v>13</v>
      </c>
      <c r="F846" t="s">
        <v>103</v>
      </c>
      <c r="G846">
        <v>0</v>
      </c>
      <c r="H846">
        <f t="shared" si="46"/>
        <v>0</v>
      </c>
      <c r="I846" s="2">
        <v>20.5</v>
      </c>
      <c r="J846">
        <f t="shared" si="47"/>
        <v>0</v>
      </c>
      <c r="K846">
        <f t="shared" si="48"/>
        <v>0</v>
      </c>
    </row>
    <row r="847" spans="2:11" x14ac:dyDescent="0.25">
      <c r="B847" s="4">
        <v>46080</v>
      </c>
      <c r="C847" t="s">
        <v>30</v>
      </c>
      <c r="E847" t="s">
        <v>14</v>
      </c>
      <c r="F847" t="s">
        <v>103</v>
      </c>
      <c r="G847">
        <v>0</v>
      </c>
      <c r="H847">
        <f t="shared" si="46"/>
        <v>0</v>
      </c>
      <c r="I847" s="2">
        <v>20.5</v>
      </c>
      <c r="J847">
        <f t="shared" si="47"/>
        <v>0</v>
      </c>
      <c r="K847">
        <f t="shared" si="48"/>
        <v>0</v>
      </c>
    </row>
    <row r="848" spans="2:11" x14ac:dyDescent="0.25">
      <c r="B848" s="4">
        <v>46080</v>
      </c>
      <c r="C848" t="s">
        <v>30</v>
      </c>
      <c r="E848" t="s">
        <v>15</v>
      </c>
      <c r="F848" t="s">
        <v>103</v>
      </c>
      <c r="G848">
        <v>0</v>
      </c>
      <c r="H848">
        <f t="shared" si="46"/>
        <v>0</v>
      </c>
      <c r="I848" s="2">
        <v>20.5</v>
      </c>
      <c r="J848">
        <f t="shared" si="47"/>
        <v>0</v>
      </c>
      <c r="K848">
        <f t="shared" si="48"/>
        <v>0</v>
      </c>
    </row>
    <row r="849" spans="2:11" x14ac:dyDescent="0.25">
      <c r="B849" s="4">
        <v>46080</v>
      </c>
      <c r="C849" t="s">
        <v>30</v>
      </c>
      <c r="E849" t="s">
        <v>16</v>
      </c>
      <c r="F849" t="s">
        <v>103</v>
      </c>
      <c r="G849">
        <v>0</v>
      </c>
      <c r="H849">
        <f t="shared" si="46"/>
        <v>0</v>
      </c>
      <c r="I849" s="2">
        <v>20.5</v>
      </c>
      <c r="J849">
        <f t="shared" si="47"/>
        <v>0</v>
      </c>
      <c r="K849">
        <f t="shared" si="48"/>
        <v>0</v>
      </c>
    </row>
    <row r="850" spans="2:11" x14ac:dyDescent="0.25">
      <c r="B850" s="4">
        <v>46080</v>
      </c>
      <c r="C850" t="s">
        <v>30</v>
      </c>
      <c r="E850" t="s">
        <v>17</v>
      </c>
      <c r="F850" t="s">
        <v>103</v>
      </c>
      <c r="G850">
        <v>0</v>
      </c>
      <c r="H850">
        <f t="shared" si="46"/>
        <v>0</v>
      </c>
      <c r="I850" s="2">
        <v>20.5</v>
      </c>
      <c r="J850">
        <f t="shared" si="47"/>
        <v>0</v>
      </c>
      <c r="K850">
        <f t="shared" si="48"/>
        <v>0</v>
      </c>
    </row>
    <row r="851" spans="2:11" x14ac:dyDescent="0.25">
      <c r="B851" s="4">
        <v>46080</v>
      </c>
      <c r="C851" t="s">
        <v>30</v>
      </c>
      <c r="E851" t="s">
        <v>12</v>
      </c>
      <c r="F851" t="s">
        <v>103</v>
      </c>
      <c r="G851">
        <v>0</v>
      </c>
      <c r="H851">
        <f t="shared" si="46"/>
        <v>0</v>
      </c>
      <c r="I851" s="2">
        <v>20.5</v>
      </c>
      <c r="J851">
        <f t="shared" si="47"/>
        <v>0</v>
      </c>
      <c r="K851">
        <f t="shared" si="48"/>
        <v>0</v>
      </c>
    </row>
    <row r="852" spans="2:11" x14ac:dyDescent="0.25">
      <c r="B852" s="4">
        <v>46080</v>
      </c>
      <c r="C852" t="s">
        <v>30</v>
      </c>
      <c r="E852" t="s">
        <v>18</v>
      </c>
      <c r="F852" t="s">
        <v>103</v>
      </c>
      <c r="G852">
        <v>0</v>
      </c>
      <c r="H852">
        <f t="shared" si="46"/>
        <v>0</v>
      </c>
      <c r="I852" s="2">
        <v>20.5</v>
      </c>
      <c r="J852">
        <f t="shared" si="47"/>
        <v>0</v>
      </c>
      <c r="K852">
        <f t="shared" si="48"/>
        <v>0</v>
      </c>
    </row>
    <row r="853" spans="2:11" x14ac:dyDescent="0.25">
      <c r="B853" s="4">
        <v>46080</v>
      </c>
      <c r="C853" t="s">
        <v>30</v>
      </c>
      <c r="E853" t="s">
        <v>19</v>
      </c>
      <c r="F853" t="s">
        <v>103</v>
      </c>
      <c r="G853">
        <v>0</v>
      </c>
      <c r="H853">
        <f t="shared" si="46"/>
        <v>0</v>
      </c>
      <c r="I853" s="2">
        <v>20.5</v>
      </c>
      <c r="J853">
        <f t="shared" si="47"/>
        <v>0</v>
      </c>
      <c r="K853">
        <f t="shared" si="48"/>
        <v>0</v>
      </c>
    </row>
    <row r="854" spans="2:11" x14ac:dyDescent="0.25">
      <c r="B854" s="4">
        <v>46080</v>
      </c>
      <c r="C854" t="s">
        <v>30</v>
      </c>
      <c r="E854" t="s">
        <v>20</v>
      </c>
      <c r="F854" t="s">
        <v>103</v>
      </c>
      <c r="G854">
        <v>0</v>
      </c>
      <c r="H854">
        <f t="shared" si="46"/>
        <v>0</v>
      </c>
      <c r="I854" s="2">
        <v>20.5</v>
      </c>
      <c r="J854">
        <f t="shared" si="47"/>
        <v>0</v>
      </c>
      <c r="K854">
        <f t="shared" si="48"/>
        <v>0</v>
      </c>
    </row>
    <row r="855" spans="2:11" x14ac:dyDescent="0.25">
      <c r="B855" s="4">
        <v>46080</v>
      </c>
      <c r="C855" t="s">
        <v>30</v>
      </c>
      <c r="E855" t="s">
        <v>21</v>
      </c>
      <c r="F855" t="s">
        <v>103</v>
      </c>
      <c r="G855">
        <v>0</v>
      </c>
      <c r="H855">
        <f t="shared" si="46"/>
        <v>0</v>
      </c>
      <c r="I855" s="2">
        <v>20.5</v>
      </c>
      <c r="J855">
        <f t="shared" si="47"/>
        <v>0</v>
      </c>
      <c r="K855">
        <f t="shared" si="48"/>
        <v>0</v>
      </c>
    </row>
    <row r="856" spans="2:11" x14ac:dyDescent="0.25">
      <c r="B856" s="4">
        <v>46080</v>
      </c>
      <c r="C856" t="s">
        <v>30</v>
      </c>
      <c r="E856" t="s">
        <v>22</v>
      </c>
      <c r="F856" t="s">
        <v>103</v>
      </c>
      <c r="G856">
        <v>0</v>
      </c>
      <c r="H856">
        <f t="shared" si="46"/>
        <v>0</v>
      </c>
      <c r="I856" s="2">
        <v>20.5</v>
      </c>
      <c r="J856">
        <f t="shared" si="47"/>
        <v>0</v>
      </c>
      <c r="K856">
        <f t="shared" si="48"/>
        <v>0</v>
      </c>
    </row>
    <row r="857" spans="2:11" x14ac:dyDescent="0.25">
      <c r="B857" s="4">
        <v>46080</v>
      </c>
      <c r="C857" t="s">
        <v>30</v>
      </c>
      <c r="E857" t="s">
        <v>23</v>
      </c>
      <c r="F857" t="s">
        <v>103</v>
      </c>
      <c r="G857">
        <v>0</v>
      </c>
      <c r="H857">
        <f t="shared" si="46"/>
        <v>0</v>
      </c>
      <c r="I857" s="2">
        <v>20.5</v>
      </c>
      <c r="J857">
        <f t="shared" si="47"/>
        <v>0</v>
      </c>
      <c r="K857">
        <f t="shared" si="48"/>
        <v>0</v>
      </c>
    </row>
    <row r="858" spans="2:11" x14ac:dyDescent="0.25">
      <c r="B858" s="4">
        <v>46080</v>
      </c>
      <c r="C858" t="s">
        <v>30</v>
      </c>
      <c r="E858" t="s">
        <v>24</v>
      </c>
      <c r="F858" t="s">
        <v>103</v>
      </c>
      <c r="G858">
        <v>0</v>
      </c>
      <c r="H858">
        <f t="shared" si="46"/>
        <v>0</v>
      </c>
      <c r="I858" s="2">
        <v>20.5</v>
      </c>
      <c r="J858">
        <f t="shared" si="47"/>
        <v>0</v>
      </c>
      <c r="K858">
        <f t="shared" si="48"/>
        <v>0</v>
      </c>
    </row>
    <row r="859" spans="2:11" x14ac:dyDescent="0.25">
      <c r="B859" s="4">
        <v>46080</v>
      </c>
      <c r="C859" t="s">
        <v>30</v>
      </c>
      <c r="E859" t="s">
        <v>25</v>
      </c>
      <c r="F859" t="s">
        <v>103</v>
      </c>
      <c r="G859">
        <v>0</v>
      </c>
      <c r="H859">
        <f t="shared" si="46"/>
        <v>0</v>
      </c>
      <c r="I859" s="2">
        <v>20.5</v>
      </c>
      <c r="J859">
        <f t="shared" si="47"/>
        <v>0</v>
      </c>
      <c r="K859">
        <f t="shared" si="48"/>
        <v>0</v>
      </c>
    </row>
    <row r="860" spans="2:11" x14ac:dyDescent="0.25">
      <c r="B860" s="4">
        <v>46080</v>
      </c>
      <c r="C860" t="s">
        <v>30</v>
      </c>
      <c r="E860" t="s">
        <v>26</v>
      </c>
      <c r="F860" t="s">
        <v>103</v>
      </c>
      <c r="G860">
        <v>0</v>
      </c>
      <c r="H860">
        <f t="shared" si="46"/>
        <v>0</v>
      </c>
      <c r="I860" s="2">
        <v>20.5</v>
      </c>
      <c r="J860">
        <f t="shared" si="47"/>
        <v>0</v>
      </c>
      <c r="K860">
        <f t="shared" si="48"/>
        <v>0</v>
      </c>
    </row>
    <row r="861" spans="2:11" x14ac:dyDescent="0.25">
      <c r="B861" s="4">
        <v>46080</v>
      </c>
      <c r="C861" t="s">
        <v>30</v>
      </c>
      <c r="E861" t="s">
        <v>27</v>
      </c>
      <c r="F861" t="s">
        <v>103</v>
      </c>
      <c r="G861">
        <v>0</v>
      </c>
      <c r="H861">
        <f t="shared" ref="H861:H924" si="49">IF(G861=0, 0, ((405.18*G861)+4.2619))</f>
        <v>0</v>
      </c>
      <c r="I861" s="2">
        <v>20.5</v>
      </c>
      <c r="J861">
        <f t="shared" si="47"/>
        <v>0</v>
      </c>
      <c r="K861">
        <f t="shared" si="48"/>
        <v>0</v>
      </c>
    </row>
    <row r="862" spans="2:11" x14ac:dyDescent="0.25">
      <c r="B862" s="4">
        <v>46080</v>
      </c>
      <c r="C862" t="s">
        <v>30</v>
      </c>
      <c r="E862" t="s">
        <v>28</v>
      </c>
      <c r="F862" t="s">
        <v>103</v>
      </c>
      <c r="G862">
        <v>0</v>
      </c>
      <c r="H862">
        <f t="shared" si="49"/>
        <v>0</v>
      </c>
      <c r="I862" s="2">
        <v>20.5</v>
      </c>
      <c r="J862">
        <f t="shared" ref="J862:J925" si="50">H862*I862</f>
        <v>0</v>
      </c>
      <c r="K862">
        <f t="shared" ref="K862:K925" si="51">MAX(J862,0)</f>
        <v>0</v>
      </c>
    </row>
    <row r="863" spans="2:11" x14ac:dyDescent="0.25">
      <c r="B863" s="4">
        <v>46080</v>
      </c>
      <c r="C863" t="s">
        <v>30</v>
      </c>
      <c r="E863" t="s">
        <v>29</v>
      </c>
      <c r="F863" t="s">
        <v>103</v>
      </c>
      <c r="G863">
        <v>0</v>
      </c>
      <c r="H863">
        <f t="shared" si="49"/>
        <v>0</v>
      </c>
      <c r="I863" s="2">
        <v>20.5</v>
      </c>
      <c r="J863">
        <f t="shared" si="50"/>
        <v>0</v>
      </c>
      <c r="K863">
        <f t="shared" si="51"/>
        <v>0</v>
      </c>
    </row>
    <row r="864" spans="2:11" x14ac:dyDescent="0.25">
      <c r="B864" s="4">
        <v>46081</v>
      </c>
      <c r="C864" t="s">
        <v>99</v>
      </c>
      <c r="E864" t="s">
        <v>73</v>
      </c>
      <c r="F864" t="s">
        <v>103</v>
      </c>
      <c r="G864">
        <v>0</v>
      </c>
      <c r="H864">
        <f t="shared" si="49"/>
        <v>0</v>
      </c>
      <c r="I864" s="2">
        <v>20.5</v>
      </c>
      <c r="J864">
        <f t="shared" si="50"/>
        <v>0</v>
      </c>
      <c r="K864">
        <f t="shared" si="51"/>
        <v>0</v>
      </c>
    </row>
    <row r="865" spans="2:11" x14ac:dyDescent="0.25">
      <c r="B865" s="4">
        <v>46081</v>
      </c>
      <c r="C865" t="s">
        <v>99</v>
      </c>
      <c r="E865" t="s">
        <v>74</v>
      </c>
      <c r="F865" t="s">
        <v>103</v>
      </c>
      <c r="G865">
        <v>0</v>
      </c>
      <c r="H865">
        <f t="shared" si="49"/>
        <v>0</v>
      </c>
      <c r="I865" s="2">
        <v>20.5</v>
      </c>
      <c r="J865">
        <f t="shared" si="50"/>
        <v>0</v>
      </c>
      <c r="K865">
        <f t="shared" si="51"/>
        <v>0</v>
      </c>
    </row>
    <row r="866" spans="2:11" x14ac:dyDescent="0.25">
      <c r="B866" s="4">
        <v>46081</v>
      </c>
      <c r="C866" t="s">
        <v>99</v>
      </c>
      <c r="E866" t="s">
        <v>75</v>
      </c>
      <c r="F866" t="s">
        <v>103</v>
      </c>
      <c r="G866">
        <v>0</v>
      </c>
      <c r="H866">
        <f t="shared" si="49"/>
        <v>0</v>
      </c>
      <c r="I866" s="2">
        <v>20.5</v>
      </c>
      <c r="J866">
        <f t="shared" si="50"/>
        <v>0</v>
      </c>
      <c r="K866">
        <f t="shared" si="51"/>
        <v>0</v>
      </c>
    </row>
    <row r="867" spans="2:11" x14ac:dyDescent="0.25">
      <c r="B867" s="4">
        <v>46081</v>
      </c>
      <c r="C867" t="s">
        <v>99</v>
      </c>
      <c r="E867" t="s">
        <v>76</v>
      </c>
      <c r="F867" t="s">
        <v>103</v>
      </c>
      <c r="G867">
        <v>0</v>
      </c>
      <c r="H867">
        <f t="shared" si="49"/>
        <v>0</v>
      </c>
      <c r="I867" s="2">
        <v>20.5</v>
      </c>
      <c r="J867">
        <f t="shared" si="50"/>
        <v>0</v>
      </c>
      <c r="K867">
        <f t="shared" si="51"/>
        <v>0</v>
      </c>
    </row>
    <row r="868" spans="2:11" x14ac:dyDescent="0.25">
      <c r="B868" s="4">
        <v>46081</v>
      </c>
      <c r="C868" t="s">
        <v>99</v>
      </c>
      <c r="E868" t="s">
        <v>77</v>
      </c>
      <c r="F868" t="s">
        <v>103</v>
      </c>
      <c r="G868">
        <v>0</v>
      </c>
      <c r="H868">
        <f t="shared" si="49"/>
        <v>0</v>
      </c>
      <c r="I868" s="2">
        <v>20.5</v>
      </c>
      <c r="J868">
        <f t="shared" si="50"/>
        <v>0</v>
      </c>
      <c r="K868">
        <f t="shared" si="51"/>
        <v>0</v>
      </c>
    </row>
    <row r="869" spans="2:11" x14ac:dyDescent="0.25">
      <c r="B869" s="4">
        <v>46081</v>
      </c>
      <c r="C869" t="s">
        <v>99</v>
      </c>
      <c r="E869" t="s">
        <v>78</v>
      </c>
      <c r="F869" t="s">
        <v>103</v>
      </c>
      <c r="G869">
        <v>0</v>
      </c>
      <c r="H869">
        <f t="shared" si="49"/>
        <v>0</v>
      </c>
      <c r="I869" s="2">
        <v>20.5</v>
      </c>
      <c r="J869">
        <f t="shared" si="50"/>
        <v>0</v>
      </c>
      <c r="K869">
        <f t="shared" si="51"/>
        <v>0</v>
      </c>
    </row>
    <row r="870" spans="2:11" x14ac:dyDescent="0.25">
      <c r="B870" s="4">
        <v>46081</v>
      </c>
      <c r="C870" t="s">
        <v>99</v>
      </c>
      <c r="E870" t="s">
        <v>79</v>
      </c>
      <c r="F870" t="s">
        <v>103</v>
      </c>
      <c r="G870">
        <v>0</v>
      </c>
      <c r="H870">
        <f t="shared" si="49"/>
        <v>0</v>
      </c>
      <c r="I870" s="2">
        <v>20.5</v>
      </c>
      <c r="J870">
        <f t="shared" si="50"/>
        <v>0</v>
      </c>
      <c r="K870">
        <f t="shared" si="51"/>
        <v>0</v>
      </c>
    </row>
    <row r="871" spans="2:11" x14ac:dyDescent="0.25">
      <c r="B871" s="4">
        <v>46081</v>
      </c>
      <c r="C871" t="s">
        <v>99</v>
      </c>
      <c r="E871" t="s">
        <v>80</v>
      </c>
      <c r="F871" t="s">
        <v>103</v>
      </c>
      <c r="G871">
        <v>0</v>
      </c>
      <c r="H871">
        <f t="shared" si="49"/>
        <v>0</v>
      </c>
      <c r="I871" s="2">
        <v>20.5</v>
      </c>
      <c r="J871">
        <f t="shared" si="50"/>
        <v>0</v>
      </c>
      <c r="K871">
        <f t="shared" si="51"/>
        <v>0</v>
      </c>
    </row>
    <row r="872" spans="2:11" x14ac:dyDescent="0.25">
      <c r="B872" s="4">
        <v>46081</v>
      </c>
      <c r="C872" t="s">
        <v>99</v>
      </c>
      <c r="D872" t="s">
        <v>98</v>
      </c>
      <c r="E872" t="s">
        <v>81</v>
      </c>
      <c r="F872" t="s">
        <v>103</v>
      </c>
      <c r="G872">
        <v>7.0000000000000001E-3</v>
      </c>
      <c r="H872">
        <f t="shared" si="49"/>
        <v>7.09816</v>
      </c>
      <c r="I872" s="2">
        <v>1</v>
      </c>
      <c r="J872">
        <f t="shared" si="50"/>
        <v>7.09816</v>
      </c>
      <c r="K872">
        <f t="shared" si="51"/>
        <v>7.09816</v>
      </c>
    </row>
    <row r="873" spans="2:11" x14ac:dyDescent="0.25">
      <c r="B873" s="4">
        <v>46081</v>
      </c>
      <c r="C873" t="s">
        <v>99</v>
      </c>
      <c r="D873" t="s">
        <v>98</v>
      </c>
      <c r="E873" t="s">
        <v>95</v>
      </c>
      <c r="F873" t="s">
        <v>103</v>
      </c>
      <c r="G873">
        <v>5.0000000000000001E-3</v>
      </c>
      <c r="H873">
        <f t="shared" si="49"/>
        <v>6.2877999999999998</v>
      </c>
      <c r="I873" s="2">
        <v>1</v>
      </c>
      <c r="J873">
        <f t="shared" si="50"/>
        <v>6.2877999999999998</v>
      </c>
      <c r="K873">
        <f t="shared" si="51"/>
        <v>6.2877999999999998</v>
      </c>
    </row>
    <row r="874" spans="2:11" x14ac:dyDescent="0.25">
      <c r="B874" s="4">
        <v>46081</v>
      </c>
      <c r="C874" t="s">
        <v>99</v>
      </c>
      <c r="D874" t="s">
        <v>98</v>
      </c>
      <c r="E874" t="s">
        <v>96</v>
      </c>
      <c r="F874" t="s">
        <v>103</v>
      </c>
      <c r="G874">
        <v>2E-3</v>
      </c>
      <c r="H874">
        <f t="shared" si="49"/>
        <v>5.07226</v>
      </c>
      <c r="I874" s="2">
        <v>1</v>
      </c>
      <c r="J874">
        <f t="shared" si="50"/>
        <v>5.07226</v>
      </c>
      <c r="K874">
        <f t="shared" si="51"/>
        <v>5.07226</v>
      </c>
    </row>
    <row r="875" spans="2:11" x14ac:dyDescent="0.25">
      <c r="B875" s="4">
        <v>46081</v>
      </c>
      <c r="C875" t="s">
        <v>99</v>
      </c>
      <c r="E875" t="s">
        <v>97</v>
      </c>
      <c r="F875" t="s">
        <v>103</v>
      </c>
      <c r="G875">
        <v>8.0000000000000002E-3</v>
      </c>
      <c r="H875">
        <f t="shared" si="49"/>
        <v>7.5033399999999997</v>
      </c>
      <c r="I875" s="2">
        <v>20.5</v>
      </c>
      <c r="J875">
        <f t="shared" si="50"/>
        <v>153.81846999999999</v>
      </c>
      <c r="K875">
        <f t="shared" si="51"/>
        <v>153.81846999999999</v>
      </c>
    </row>
    <row r="876" spans="2:11" x14ac:dyDescent="0.25">
      <c r="B876" s="4">
        <v>46081</v>
      </c>
      <c r="C876" t="s">
        <v>100</v>
      </c>
      <c r="E876" t="s">
        <v>73</v>
      </c>
      <c r="F876" t="s">
        <v>103</v>
      </c>
      <c r="G876">
        <v>0</v>
      </c>
      <c r="H876">
        <f t="shared" si="49"/>
        <v>0</v>
      </c>
      <c r="I876" s="2">
        <v>20.5</v>
      </c>
      <c r="J876">
        <f t="shared" si="50"/>
        <v>0</v>
      </c>
      <c r="K876">
        <f t="shared" si="51"/>
        <v>0</v>
      </c>
    </row>
    <row r="877" spans="2:11" x14ac:dyDescent="0.25">
      <c r="B877" s="4">
        <v>46081</v>
      </c>
      <c r="C877" t="s">
        <v>100</v>
      </c>
      <c r="E877" t="s">
        <v>74</v>
      </c>
      <c r="F877" t="s">
        <v>103</v>
      </c>
      <c r="G877">
        <v>0</v>
      </c>
      <c r="H877">
        <f t="shared" si="49"/>
        <v>0</v>
      </c>
      <c r="I877" s="2">
        <v>20.5</v>
      </c>
      <c r="J877">
        <f t="shared" si="50"/>
        <v>0</v>
      </c>
      <c r="K877">
        <f t="shared" si="51"/>
        <v>0</v>
      </c>
    </row>
    <row r="878" spans="2:11" x14ac:dyDescent="0.25">
      <c r="B878" s="4">
        <v>46081</v>
      </c>
      <c r="C878" t="s">
        <v>100</v>
      </c>
      <c r="E878" t="s">
        <v>75</v>
      </c>
      <c r="F878" t="s">
        <v>103</v>
      </c>
      <c r="G878">
        <v>0</v>
      </c>
      <c r="H878">
        <f t="shared" si="49"/>
        <v>0</v>
      </c>
      <c r="I878" s="2">
        <v>20.5</v>
      </c>
      <c r="J878">
        <f t="shared" si="50"/>
        <v>0</v>
      </c>
      <c r="K878">
        <f t="shared" si="51"/>
        <v>0</v>
      </c>
    </row>
    <row r="879" spans="2:11" x14ac:dyDescent="0.25">
      <c r="B879" s="4">
        <v>46081</v>
      </c>
      <c r="C879" t="s">
        <v>100</v>
      </c>
      <c r="E879" t="s">
        <v>76</v>
      </c>
      <c r="F879" t="s">
        <v>103</v>
      </c>
      <c r="G879">
        <v>8.0000000000000002E-3</v>
      </c>
      <c r="H879">
        <f t="shared" si="49"/>
        <v>7.5033399999999997</v>
      </c>
      <c r="I879" s="2">
        <v>20.5</v>
      </c>
      <c r="J879">
        <f t="shared" si="50"/>
        <v>153.81846999999999</v>
      </c>
      <c r="K879">
        <f t="shared" si="51"/>
        <v>153.81846999999999</v>
      </c>
    </row>
    <row r="880" spans="2:11" x14ac:dyDescent="0.25">
      <c r="B880" s="4">
        <v>46081</v>
      </c>
      <c r="C880" t="s">
        <v>100</v>
      </c>
      <c r="E880" t="s">
        <v>77</v>
      </c>
      <c r="F880" t="s">
        <v>103</v>
      </c>
      <c r="G880">
        <v>4.0000000000000001E-3</v>
      </c>
      <c r="H880">
        <f t="shared" si="49"/>
        <v>5.8826200000000002</v>
      </c>
      <c r="I880" s="2">
        <v>20.5</v>
      </c>
      <c r="J880">
        <f t="shared" si="50"/>
        <v>120.59371</v>
      </c>
      <c r="K880">
        <f t="shared" si="51"/>
        <v>120.59371</v>
      </c>
    </row>
    <row r="881" spans="2:11" x14ac:dyDescent="0.25">
      <c r="B881" s="4">
        <v>46081</v>
      </c>
      <c r="C881" t="s">
        <v>100</v>
      </c>
      <c r="E881" t="s">
        <v>78</v>
      </c>
      <c r="F881" t="s">
        <v>103</v>
      </c>
      <c r="G881">
        <v>2E-3</v>
      </c>
      <c r="H881">
        <f t="shared" si="49"/>
        <v>5.07226</v>
      </c>
      <c r="I881" s="2">
        <v>20.5</v>
      </c>
      <c r="J881">
        <f t="shared" si="50"/>
        <v>103.98133</v>
      </c>
      <c r="K881">
        <f t="shared" si="51"/>
        <v>103.98133</v>
      </c>
    </row>
    <row r="882" spans="2:11" x14ac:dyDescent="0.25">
      <c r="B882" s="4">
        <v>46081</v>
      </c>
      <c r="C882" t="s">
        <v>100</v>
      </c>
      <c r="E882" t="s">
        <v>79</v>
      </c>
      <c r="F882" t="s">
        <v>103</v>
      </c>
      <c r="G882">
        <v>8.0000000000000002E-3</v>
      </c>
      <c r="H882">
        <f t="shared" si="49"/>
        <v>7.5033399999999997</v>
      </c>
      <c r="I882" s="2">
        <v>20.5</v>
      </c>
      <c r="J882">
        <f t="shared" si="50"/>
        <v>153.81846999999999</v>
      </c>
      <c r="K882">
        <f t="shared" si="51"/>
        <v>153.81846999999999</v>
      </c>
    </row>
    <row r="883" spans="2:11" x14ac:dyDescent="0.25">
      <c r="B883" s="4">
        <v>46081</v>
      </c>
      <c r="C883" t="s">
        <v>100</v>
      </c>
      <c r="E883" t="s">
        <v>80</v>
      </c>
      <c r="F883" t="s">
        <v>103</v>
      </c>
      <c r="G883">
        <v>0</v>
      </c>
      <c r="H883">
        <f t="shared" si="49"/>
        <v>0</v>
      </c>
      <c r="I883" s="2">
        <v>20.5</v>
      </c>
      <c r="J883">
        <f t="shared" si="50"/>
        <v>0</v>
      </c>
      <c r="K883">
        <f t="shared" si="51"/>
        <v>0</v>
      </c>
    </row>
    <row r="884" spans="2:11" x14ac:dyDescent="0.25">
      <c r="B884" s="4">
        <v>46081</v>
      </c>
      <c r="C884" t="s">
        <v>100</v>
      </c>
      <c r="E884" t="s">
        <v>81</v>
      </c>
      <c r="F884" t="s">
        <v>103</v>
      </c>
      <c r="G884">
        <v>0</v>
      </c>
      <c r="H884">
        <f t="shared" si="49"/>
        <v>0</v>
      </c>
      <c r="I884" s="2">
        <v>20.5</v>
      </c>
      <c r="J884">
        <f t="shared" si="50"/>
        <v>0</v>
      </c>
      <c r="K884">
        <f t="shared" si="51"/>
        <v>0</v>
      </c>
    </row>
    <row r="885" spans="2:11" x14ac:dyDescent="0.25">
      <c r="B885" s="4">
        <v>46081</v>
      </c>
      <c r="C885" t="s">
        <v>100</v>
      </c>
      <c r="D885" t="s">
        <v>98</v>
      </c>
      <c r="E885" t="s">
        <v>95</v>
      </c>
      <c r="F885" t="s">
        <v>103</v>
      </c>
      <c r="G885">
        <v>1.4999999999999999E-2</v>
      </c>
      <c r="H885">
        <f t="shared" si="49"/>
        <v>10.339600000000001</v>
      </c>
      <c r="I885" s="2">
        <v>1</v>
      </c>
      <c r="J885">
        <f t="shared" si="50"/>
        <v>10.339600000000001</v>
      </c>
      <c r="K885">
        <f t="shared" si="51"/>
        <v>10.339600000000001</v>
      </c>
    </row>
    <row r="886" spans="2:11" x14ac:dyDescent="0.25">
      <c r="B886" s="4">
        <v>46081</v>
      </c>
      <c r="C886" t="s">
        <v>100</v>
      </c>
      <c r="D886" t="s">
        <v>98</v>
      </c>
      <c r="E886" t="s">
        <v>96</v>
      </c>
      <c r="F886" t="s">
        <v>103</v>
      </c>
      <c r="G886">
        <v>2.1000000000000001E-2</v>
      </c>
      <c r="H886">
        <f t="shared" si="49"/>
        <v>12.770679999999999</v>
      </c>
      <c r="I886" s="2">
        <v>1</v>
      </c>
      <c r="J886">
        <f t="shared" si="50"/>
        <v>12.770679999999999</v>
      </c>
      <c r="K886">
        <f t="shared" si="51"/>
        <v>12.770679999999999</v>
      </c>
    </row>
    <row r="887" spans="2:11" x14ac:dyDescent="0.25">
      <c r="B887" s="4">
        <v>46081</v>
      </c>
      <c r="C887" t="s">
        <v>100</v>
      </c>
      <c r="D887" t="s">
        <v>98</v>
      </c>
      <c r="E887" t="s">
        <v>97</v>
      </c>
      <c r="F887" t="s">
        <v>103</v>
      </c>
      <c r="G887">
        <v>2.5000000000000001E-2</v>
      </c>
      <c r="H887">
        <f t="shared" si="49"/>
        <v>14.391400000000001</v>
      </c>
      <c r="I887" s="2">
        <v>1</v>
      </c>
      <c r="J887">
        <f t="shared" si="50"/>
        <v>14.391400000000001</v>
      </c>
      <c r="K887">
        <f t="shared" si="51"/>
        <v>14.391400000000001</v>
      </c>
    </row>
    <row r="888" spans="2:11" x14ac:dyDescent="0.25">
      <c r="B888" s="1">
        <v>46141</v>
      </c>
      <c r="C888" t="s">
        <v>12</v>
      </c>
      <c r="E888" t="s">
        <v>13</v>
      </c>
      <c r="F888" t="s">
        <v>103</v>
      </c>
      <c r="G888">
        <v>2.5999999999999999E-2</v>
      </c>
      <c r="H888">
        <f t="shared" si="49"/>
        <v>14.796579999999999</v>
      </c>
      <c r="I888" s="2">
        <v>20.5</v>
      </c>
      <c r="J888">
        <f t="shared" si="50"/>
        <v>303.32988999999998</v>
      </c>
      <c r="K888">
        <f t="shared" si="51"/>
        <v>303.32988999999998</v>
      </c>
    </row>
    <row r="889" spans="2:11" x14ac:dyDescent="0.25">
      <c r="B889" s="1">
        <v>46141</v>
      </c>
      <c r="C889" t="s">
        <v>12</v>
      </c>
      <c r="E889" t="s">
        <v>14</v>
      </c>
      <c r="F889" t="s">
        <v>103</v>
      </c>
      <c r="G889">
        <v>2.7E-2</v>
      </c>
      <c r="H889">
        <f t="shared" si="49"/>
        <v>15.20176</v>
      </c>
      <c r="I889" s="2">
        <v>20.5</v>
      </c>
      <c r="J889">
        <f t="shared" si="50"/>
        <v>311.63607999999999</v>
      </c>
      <c r="K889">
        <f t="shared" si="51"/>
        <v>311.63607999999999</v>
      </c>
    </row>
    <row r="890" spans="2:11" x14ac:dyDescent="0.25">
      <c r="B890" s="1">
        <v>46141</v>
      </c>
      <c r="C890" t="s">
        <v>12</v>
      </c>
      <c r="E890" t="s">
        <v>15</v>
      </c>
      <c r="F890" t="s">
        <v>103</v>
      </c>
      <c r="G890">
        <v>1.2999999999999999E-2</v>
      </c>
      <c r="H890">
        <f t="shared" si="49"/>
        <v>9.5292399999999997</v>
      </c>
      <c r="I890" s="2">
        <v>20.5</v>
      </c>
      <c r="J890">
        <f t="shared" si="50"/>
        <v>195.34941999999998</v>
      </c>
      <c r="K890">
        <f t="shared" si="51"/>
        <v>195.34941999999998</v>
      </c>
    </row>
    <row r="891" spans="2:11" x14ac:dyDescent="0.25">
      <c r="B891" s="1">
        <v>46141</v>
      </c>
      <c r="C891" t="s">
        <v>12</v>
      </c>
      <c r="E891" t="s">
        <v>16</v>
      </c>
      <c r="F891" t="s">
        <v>103</v>
      </c>
      <c r="G891">
        <v>2.4E-2</v>
      </c>
      <c r="H891">
        <f t="shared" si="49"/>
        <v>13.986219999999999</v>
      </c>
      <c r="I891" s="2">
        <v>20.5</v>
      </c>
      <c r="J891">
        <f t="shared" si="50"/>
        <v>286.71751</v>
      </c>
      <c r="K891">
        <f t="shared" si="51"/>
        <v>286.71751</v>
      </c>
    </row>
    <row r="892" spans="2:11" x14ac:dyDescent="0.25">
      <c r="B892" s="1">
        <v>46141</v>
      </c>
      <c r="C892" t="s">
        <v>12</v>
      </c>
      <c r="E892" t="s">
        <v>17</v>
      </c>
      <c r="F892" t="s">
        <v>103</v>
      </c>
      <c r="G892">
        <v>0</v>
      </c>
      <c r="H892">
        <f t="shared" si="49"/>
        <v>0</v>
      </c>
      <c r="I892" s="2">
        <v>20.5</v>
      </c>
      <c r="J892">
        <f t="shared" si="50"/>
        <v>0</v>
      </c>
      <c r="K892">
        <f t="shared" si="51"/>
        <v>0</v>
      </c>
    </row>
    <row r="893" spans="2:11" x14ac:dyDescent="0.25">
      <c r="B893" s="1">
        <v>46141</v>
      </c>
      <c r="C893" t="s">
        <v>12</v>
      </c>
      <c r="E893" t="s">
        <v>12</v>
      </c>
      <c r="F893" t="s">
        <v>103</v>
      </c>
      <c r="G893">
        <v>8.9999999999999993E-3</v>
      </c>
      <c r="H893">
        <f t="shared" si="49"/>
        <v>7.9085199999999993</v>
      </c>
      <c r="I893" s="2">
        <v>20.5</v>
      </c>
      <c r="J893">
        <f t="shared" si="50"/>
        <v>162.12465999999998</v>
      </c>
      <c r="K893">
        <f t="shared" si="51"/>
        <v>162.12465999999998</v>
      </c>
    </row>
    <row r="894" spans="2:11" x14ac:dyDescent="0.25">
      <c r="B894" s="1">
        <v>46141</v>
      </c>
      <c r="C894" t="s">
        <v>12</v>
      </c>
      <c r="E894" t="s">
        <v>18</v>
      </c>
      <c r="F894" t="s">
        <v>103</v>
      </c>
      <c r="G894">
        <v>0</v>
      </c>
      <c r="H894">
        <f t="shared" si="49"/>
        <v>0</v>
      </c>
      <c r="I894" s="2">
        <v>20.5</v>
      </c>
      <c r="J894">
        <f t="shared" si="50"/>
        <v>0</v>
      </c>
      <c r="K894">
        <f t="shared" si="51"/>
        <v>0</v>
      </c>
    </row>
    <row r="895" spans="2:11" x14ac:dyDescent="0.25">
      <c r="B895" s="1">
        <v>46141</v>
      </c>
      <c r="C895" t="s">
        <v>12</v>
      </c>
      <c r="E895" t="s">
        <v>19</v>
      </c>
      <c r="F895" t="s">
        <v>103</v>
      </c>
      <c r="G895">
        <v>0</v>
      </c>
      <c r="H895">
        <f t="shared" si="49"/>
        <v>0</v>
      </c>
      <c r="I895" s="2">
        <v>20.5</v>
      </c>
      <c r="J895">
        <f t="shared" si="50"/>
        <v>0</v>
      </c>
      <c r="K895">
        <f t="shared" si="51"/>
        <v>0</v>
      </c>
    </row>
    <row r="896" spans="2:11" x14ac:dyDescent="0.25">
      <c r="B896" s="1">
        <v>46141</v>
      </c>
      <c r="C896" t="s">
        <v>12</v>
      </c>
      <c r="E896" t="s">
        <v>20</v>
      </c>
      <c r="F896" t="s">
        <v>103</v>
      </c>
      <c r="G896">
        <v>0</v>
      </c>
      <c r="H896">
        <f t="shared" si="49"/>
        <v>0</v>
      </c>
      <c r="I896" s="2">
        <v>20.5</v>
      </c>
      <c r="J896">
        <f t="shared" si="50"/>
        <v>0</v>
      </c>
      <c r="K896">
        <f t="shared" si="51"/>
        <v>0</v>
      </c>
    </row>
    <row r="897" spans="2:11" x14ac:dyDescent="0.25">
      <c r="B897" s="1">
        <v>46141</v>
      </c>
      <c r="C897" t="s">
        <v>12</v>
      </c>
      <c r="E897" t="s">
        <v>21</v>
      </c>
      <c r="F897" t="s">
        <v>103</v>
      </c>
      <c r="G897">
        <v>0</v>
      </c>
      <c r="H897">
        <f t="shared" si="49"/>
        <v>0</v>
      </c>
      <c r="I897" s="2">
        <v>20.5</v>
      </c>
      <c r="J897">
        <f t="shared" si="50"/>
        <v>0</v>
      </c>
      <c r="K897">
        <f t="shared" si="51"/>
        <v>0</v>
      </c>
    </row>
    <row r="898" spans="2:11" x14ac:dyDescent="0.25">
      <c r="B898" s="1">
        <v>46141</v>
      </c>
      <c r="C898" t="s">
        <v>12</v>
      </c>
      <c r="E898" t="s">
        <v>22</v>
      </c>
      <c r="F898" t="s">
        <v>103</v>
      </c>
      <c r="G898">
        <v>0</v>
      </c>
      <c r="H898">
        <f t="shared" si="49"/>
        <v>0</v>
      </c>
      <c r="I898" s="2">
        <v>20.5</v>
      </c>
      <c r="J898">
        <f t="shared" si="50"/>
        <v>0</v>
      </c>
      <c r="K898">
        <f t="shared" si="51"/>
        <v>0</v>
      </c>
    </row>
    <row r="899" spans="2:11" x14ac:dyDescent="0.25">
      <c r="B899" s="1">
        <v>46141</v>
      </c>
      <c r="C899" t="s">
        <v>12</v>
      </c>
      <c r="E899" t="s">
        <v>23</v>
      </c>
      <c r="F899" t="s">
        <v>103</v>
      </c>
      <c r="G899">
        <v>0</v>
      </c>
      <c r="H899">
        <f t="shared" si="49"/>
        <v>0</v>
      </c>
      <c r="I899" s="2">
        <v>20.5</v>
      </c>
      <c r="J899">
        <f t="shared" si="50"/>
        <v>0</v>
      </c>
      <c r="K899">
        <f t="shared" si="51"/>
        <v>0</v>
      </c>
    </row>
    <row r="900" spans="2:11" x14ac:dyDescent="0.25">
      <c r="B900" s="1">
        <v>46141</v>
      </c>
      <c r="C900" t="s">
        <v>12</v>
      </c>
      <c r="E900" t="s">
        <v>24</v>
      </c>
      <c r="F900" t="s">
        <v>103</v>
      </c>
      <c r="G900">
        <v>0</v>
      </c>
      <c r="H900">
        <f t="shared" si="49"/>
        <v>0</v>
      </c>
      <c r="I900" s="2">
        <v>20.5</v>
      </c>
      <c r="J900">
        <f t="shared" si="50"/>
        <v>0</v>
      </c>
      <c r="K900">
        <f t="shared" si="51"/>
        <v>0</v>
      </c>
    </row>
    <row r="901" spans="2:11" x14ac:dyDescent="0.25">
      <c r="B901" s="1">
        <v>46141</v>
      </c>
      <c r="C901" t="s">
        <v>12</v>
      </c>
      <c r="E901" t="s">
        <v>25</v>
      </c>
      <c r="F901" t="s">
        <v>103</v>
      </c>
      <c r="G901">
        <v>0</v>
      </c>
      <c r="H901">
        <f t="shared" si="49"/>
        <v>0</v>
      </c>
      <c r="I901" s="2">
        <v>20.5</v>
      </c>
      <c r="J901">
        <f t="shared" si="50"/>
        <v>0</v>
      </c>
      <c r="K901">
        <f t="shared" si="51"/>
        <v>0</v>
      </c>
    </row>
    <row r="902" spans="2:11" x14ac:dyDescent="0.25">
      <c r="B902" s="1">
        <v>46141</v>
      </c>
      <c r="C902" t="s">
        <v>12</v>
      </c>
      <c r="E902" t="s">
        <v>26</v>
      </c>
      <c r="F902" t="s">
        <v>103</v>
      </c>
      <c r="G902">
        <v>0</v>
      </c>
      <c r="H902">
        <f t="shared" si="49"/>
        <v>0</v>
      </c>
      <c r="I902" s="2">
        <v>20.5</v>
      </c>
      <c r="J902">
        <f t="shared" si="50"/>
        <v>0</v>
      </c>
      <c r="K902">
        <f t="shared" si="51"/>
        <v>0</v>
      </c>
    </row>
    <row r="903" spans="2:11" x14ac:dyDescent="0.25">
      <c r="B903" s="1">
        <v>46141</v>
      </c>
      <c r="C903" t="s">
        <v>12</v>
      </c>
      <c r="E903" t="s">
        <v>27</v>
      </c>
      <c r="F903" t="s">
        <v>103</v>
      </c>
      <c r="G903">
        <v>0</v>
      </c>
      <c r="H903">
        <f t="shared" si="49"/>
        <v>0</v>
      </c>
      <c r="I903" s="2">
        <v>20.5</v>
      </c>
      <c r="J903">
        <f t="shared" si="50"/>
        <v>0</v>
      </c>
      <c r="K903">
        <f t="shared" si="51"/>
        <v>0</v>
      </c>
    </row>
    <row r="904" spans="2:11" x14ac:dyDescent="0.25">
      <c r="B904" s="1">
        <v>46141</v>
      </c>
      <c r="C904" t="s">
        <v>12</v>
      </c>
      <c r="E904" t="s">
        <v>28</v>
      </c>
      <c r="F904" t="s">
        <v>103</v>
      </c>
      <c r="G904">
        <v>0</v>
      </c>
      <c r="H904">
        <f t="shared" si="49"/>
        <v>0</v>
      </c>
      <c r="I904" s="2">
        <v>20.5</v>
      </c>
      <c r="J904">
        <f t="shared" si="50"/>
        <v>0</v>
      </c>
      <c r="K904">
        <f t="shared" si="51"/>
        <v>0</v>
      </c>
    </row>
    <row r="905" spans="2:11" x14ac:dyDescent="0.25">
      <c r="B905" s="1">
        <v>46141</v>
      </c>
      <c r="C905" t="s">
        <v>12</v>
      </c>
      <c r="E905" t="s">
        <v>29</v>
      </c>
      <c r="F905" t="s">
        <v>103</v>
      </c>
      <c r="G905">
        <v>0</v>
      </c>
      <c r="H905">
        <f t="shared" si="49"/>
        <v>0</v>
      </c>
      <c r="I905" s="2">
        <v>20.5</v>
      </c>
      <c r="J905">
        <f t="shared" si="50"/>
        <v>0</v>
      </c>
      <c r="K905">
        <f t="shared" si="51"/>
        <v>0</v>
      </c>
    </row>
    <row r="906" spans="2:11" x14ac:dyDescent="0.25">
      <c r="B906" s="1">
        <v>46141</v>
      </c>
      <c r="C906" t="s">
        <v>30</v>
      </c>
      <c r="E906" t="s">
        <v>13</v>
      </c>
      <c r="F906" t="s">
        <v>103</v>
      </c>
      <c r="G906">
        <v>0</v>
      </c>
      <c r="H906">
        <f t="shared" si="49"/>
        <v>0</v>
      </c>
      <c r="I906" s="2">
        <v>20.5</v>
      </c>
      <c r="J906">
        <f t="shared" si="50"/>
        <v>0</v>
      </c>
      <c r="K906">
        <f t="shared" si="51"/>
        <v>0</v>
      </c>
    </row>
    <row r="907" spans="2:11" x14ac:dyDescent="0.25">
      <c r="B907" s="1">
        <v>46141</v>
      </c>
      <c r="C907" t="s">
        <v>30</v>
      </c>
      <c r="E907" t="s">
        <v>14</v>
      </c>
      <c r="F907" t="s">
        <v>103</v>
      </c>
      <c r="G907">
        <v>0</v>
      </c>
      <c r="H907">
        <f t="shared" si="49"/>
        <v>0</v>
      </c>
      <c r="I907" s="2">
        <v>20.5</v>
      </c>
      <c r="J907">
        <f t="shared" si="50"/>
        <v>0</v>
      </c>
      <c r="K907">
        <f t="shared" si="51"/>
        <v>0</v>
      </c>
    </row>
    <row r="908" spans="2:11" x14ac:dyDescent="0.25">
      <c r="B908" s="1">
        <v>46141</v>
      </c>
      <c r="C908" t="s">
        <v>30</v>
      </c>
      <c r="E908" t="s">
        <v>15</v>
      </c>
      <c r="F908" t="s">
        <v>103</v>
      </c>
      <c r="G908">
        <v>0</v>
      </c>
      <c r="H908">
        <f t="shared" si="49"/>
        <v>0</v>
      </c>
      <c r="I908" s="2">
        <v>20.5</v>
      </c>
      <c r="J908">
        <f t="shared" si="50"/>
        <v>0</v>
      </c>
      <c r="K908">
        <f t="shared" si="51"/>
        <v>0</v>
      </c>
    </row>
    <row r="909" spans="2:11" x14ac:dyDescent="0.25">
      <c r="B909" s="1">
        <v>46141</v>
      </c>
      <c r="C909" t="s">
        <v>30</v>
      </c>
      <c r="E909" t="s">
        <v>16</v>
      </c>
      <c r="F909" t="s">
        <v>103</v>
      </c>
      <c r="G909">
        <v>0</v>
      </c>
      <c r="H909">
        <f t="shared" si="49"/>
        <v>0</v>
      </c>
      <c r="I909" s="2">
        <v>20.5</v>
      </c>
      <c r="J909">
        <f t="shared" si="50"/>
        <v>0</v>
      </c>
      <c r="K909">
        <f t="shared" si="51"/>
        <v>0</v>
      </c>
    </row>
    <row r="910" spans="2:11" x14ac:dyDescent="0.25">
      <c r="B910" s="1">
        <v>46141</v>
      </c>
      <c r="C910" t="s">
        <v>30</v>
      </c>
      <c r="E910" t="s">
        <v>17</v>
      </c>
      <c r="F910" t="s">
        <v>103</v>
      </c>
      <c r="G910">
        <v>0</v>
      </c>
      <c r="H910">
        <f t="shared" si="49"/>
        <v>0</v>
      </c>
      <c r="I910" s="2">
        <v>20.5</v>
      </c>
      <c r="J910">
        <f t="shared" si="50"/>
        <v>0</v>
      </c>
      <c r="K910">
        <f t="shared" si="51"/>
        <v>0</v>
      </c>
    </row>
    <row r="911" spans="2:11" x14ac:dyDescent="0.25">
      <c r="B911" s="1">
        <v>46141</v>
      </c>
      <c r="C911" t="s">
        <v>30</v>
      </c>
      <c r="E911" t="s">
        <v>12</v>
      </c>
      <c r="F911" t="s">
        <v>103</v>
      </c>
      <c r="G911">
        <v>0</v>
      </c>
      <c r="H911">
        <f t="shared" si="49"/>
        <v>0</v>
      </c>
      <c r="I911" s="2">
        <v>20.5</v>
      </c>
      <c r="J911">
        <f t="shared" si="50"/>
        <v>0</v>
      </c>
      <c r="K911">
        <f t="shared" si="51"/>
        <v>0</v>
      </c>
    </row>
    <row r="912" spans="2:11" x14ac:dyDescent="0.25">
      <c r="B912" s="1">
        <v>46141</v>
      </c>
      <c r="C912" t="s">
        <v>30</v>
      </c>
      <c r="E912" t="s">
        <v>18</v>
      </c>
      <c r="F912" t="s">
        <v>103</v>
      </c>
      <c r="G912">
        <v>0</v>
      </c>
      <c r="H912">
        <f t="shared" si="49"/>
        <v>0</v>
      </c>
      <c r="I912" s="2">
        <v>20.5</v>
      </c>
      <c r="J912">
        <f t="shared" si="50"/>
        <v>0</v>
      </c>
      <c r="K912">
        <f t="shared" si="51"/>
        <v>0</v>
      </c>
    </row>
    <row r="913" spans="2:11" x14ac:dyDescent="0.25">
      <c r="B913" s="1">
        <v>46141</v>
      </c>
      <c r="C913" t="s">
        <v>30</v>
      </c>
      <c r="E913" t="s">
        <v>19</v>
      </c>
      <c r="F913" t="s">
        <v>103</v>
      </c>
      <c r="G913">
        <v>3.0000000000000001E-3</v>
      </c>
      <c r="H913">
        <f t="shared" si="49"/>
        <v>5.4774399999999996</v>
      </c>
      <c r="I913" s="2">
        <v>20.5</v>
      </c>
      <c r="J913">
        <f t="shared" si="50"/>
        <v>112.28751999999999</v>
      </c>
      <c r="K913">
        <f t="shared" si="51"/>
        <v>112.28751999999999</v>
      </c>
    </row>
    <row r="914" spans="2:11" x14ac:dyDescent="0.25">
      <c r="B914" s="1">
        <v>46141</v>
      </c>
      <c r="C914" t="s">
        <v>30</v>
      </c>
      <c r="E914" t="s">
        <v>20</v>
      </c>
      <c r="F914" t="s">
        <v>103</v>
      </c>
      <c r="G914">
        <v>0</v>
      </c>
      <c r="H914">
        <f t="shared" si="49"/>
        <v>0</v>
      </c>
      <c r="I914" s="2">
        <v>20.5</v>
      </c>
      <c r="J914">
        <f t="shared" si="50"/>
        <v>0</v>
      </c>
      <c r="K914">
        <f t="shared" si="51"/>
        <v>0</v>
      </c>
    </row>
    <row r="915" spans="2:11" x14ac:dyDescent="0.25">
      <c r="B915" s="1">
        <v>46141</v>
      </c>
      <c r="C915" t="s">
        <v>30</v>
      </c>
      <c r="E915" t="s">
        <v>21</v>
      </c>
      <c r="F915" t="s">
        <v>103</v>
      </c>
      <c r="G915">
        <v>0</v>
      </c>
      <c r="H915">
        <f t="shared" si="49"/>
        <v>0</v>
      </c>
      <c r="I915" s="2">
        <v>20.5</v>
      </c>
      <c r="J915">
        <f t="shared" si="50"/>
        <v>0</v>
      </c>
      <c r="K915">
        <f t="shared" si="51"/>
        <v>0</v>
      </c>
    </row>
    <row r="916" spans="2:11" x14ac:dyDescent="0.25">
      <c r="B916" s="1">
        <v>46141</v>
      </c>
      <c r="C916" t="s">
        <v>30</v>
      </c>
      <c r="E916" t="s">
        <v>22</v>
      </c>
      <c r="F916" t="s">
        <v>103</v>
      </c>
      <c r="G916">
        <v>1E-3</v>
      </c>
      <c r="H916">
        <f t="shared" si="49"/>
        <v>4.6670799999999995</v>
      </c>
      <c r="I916" s="2">
        <v>20.5</v>
      </c>
      <c r="J916">
        <f t="shared" si="50"/>
        <v>95.675139999999985</v>
      </c>
      <c r="K916">
        <f t="shared" si="51"/>
        <v>95.675139999999985</v>
      </c>
    </row>
    <row r="917" spans="2:11" x14ac:dyDescent="0.25">
      <c r="B917" s="1">
        <v>46141</v>
      </c>
      <c r="C917" t="s">
        <v>30</v>
      </c>
      <c r="E917" t="s">
        <v>23</v>
      </c>
      <c r="F917" t="s">
        <v>103</v>
      </c>
      <c r="G917">
        <v>0</v>
      </c>
      <c r="H917">
        <f t="shared" si="49"/>
        <v>0</v>
      </c>
      <c r="I917" s="2">
        <v>20.5</v>
      </c>
      <c r="J917">
        <f t="shared" si="50"/>
        <v>0</v>
      </c>
      <c r="K917">
        <f t="shared" si="51"/>
        <v>0</v>
      </c>
    </row>
    <row r="918" spans="2:11" x14ac:dyDescent="0.25">
      <c r="B918" s="1">
        <v>46141</v>
      </c>
      <c r="C918" t="s">
        <v>30</v>
      </c>
      <c r="E918" t="s">
        <v>24</v>
      </c>
      <c r="F918" t="s">
        <v>103</v>
      </c>
      <c r="G918">
        <v>5.0000000000000001E-3</v>
      </c>
      <c r="H918">
        <f t="shared" si="49"/>
        <v>6.2877999999999998</v>
      </c>
      <c r="I918" s="2">
        <v>20.5</v>
      </c>
      <c r="J918">
        <f t="shared" si="50"/>
        <v>128.8999</v>
      </c>
      <c r="K918">
        <f t="shared" si="51"/>
        <v>128.8999</v>
      </c>
    </row>
    <row r="919" spans="2:11" x14ac:dyDescent="0.25">
      <c r="B919" s="1">
        <v>46141</v>
      </c>
      <c r="C919" t="s">
        <v>30</v>
      </c>
      <c r="E919" t="s">
        <v>25</v>
      </c>
      <c r="F919" t="s">
        <v>103</v>
      </c>
      <c r="G919">
        <v>2E-3</v>
      </c>
      <c r="H919">
        <f t="shared" si="49"/>
        <v>5.07226</v>
      </c>
      <c r="I919" s="2">
        <v>20.5</v>
      </c>
      <c r="J919">
        <f t="shared" si="50"/>
        <v>103.98133</v>
      </c>
      <c r="K919">
        <f t="shared" si="51"/>
        <v>103.98133</v>
      </c>
    </row>
    <row r="920" spans="2:11" x14ac:dyDescent="0.25">
      <c r="B920" s="1">
        <v>46141</v>
      </c>
      <c r="C920" t="s">
        <v>30</v>
      </c>
      <c r="E920" t="s">
        <v>26</v>
      </c>
      <c r="F920" t="s">
        <v>103</v>
      </c>
      <c r="G920">
        <v>0</v>
      </c>
      <c r="H920">
        <f t="shared" si="49"/>
        <v>0</v>
      </c>
      <c r="I920" s="2">
        <v>20.5</v>
      </c>
      <c r="J920">
        <f t="shared" si="50"/>
        <v>0</v>
      </c>
      <c r="K920">
        <f t="shared" si="51"/>
        <v>0</v>
      </c>
    </row>
    <row r="921" spans="2:11" x14ac:dyDescent="0.25">
      <c r="B921" s="1">
        <v>46141</v>
      </c>
      <c r="C921" t="s">
        <v>30</v>
      </c>
      <c r="E921" t="s">
        <v>27</v>
      </c>
      <c r="F921" t="s">
        <v>103</v>
      </c>
      <c r="G921">
        <v>0</v>
      </c>
      <c r="H921">
        <f t="shared" si="49"/>
        <v>0</v>
      </c>
      <c r="I921" s="2">
        <v>20.5</v>
      </c>
      <c r="J921">
        <f t="shared" si="50"/>
        <v>0</v>
      </c>
      <c r="K921">
        <f t="shared" si="51"/>
        <v>0</v>
      </c>
    </row>
    <row r="922" spans="2:11" x14ac:dyDescent="0.25">
      <c r="B922" s="1">
        <v>46141</v>
      </c>
      <c r="C922" t="s">
        <v>30</v>
      </c>
      <c r="E922" t="s">
        <v>28</v>
      </c>
      <c r="F922" t="s">
        <v>103</v>
      </c>
      <c r="G922">
        <v>0</v>
      </c>
      <c r="H922">
        <f t="shared" si="49"/>
        <v>0</v>
      </c>
      <c r="I922" s="2">
        <v>20.5</v>
      </c>
      <c r="J922">
        <f t="shared" si="50"/>
        <v>0</v>
      </c>
      <c r="K922">
        <f t="shared" si="51"/>
        <v>0</v>
      </c>
    </row>
    <row r="923" spans="2:11" x14ac:dyDescent="0.25">
      <c r="B923" s="1">
        <v>46141</v>
      </c>
      <c r="C923" t="s">
        <v>30</v>
      </c>
      <c r="E923" t="s">
        <v>29</v>
      </c>
      <c r="F923" t="s">
        <v>103</v>
      </c>
      <c r="G923">
        <v>0</v>
      </c>
      <c r="H923">
        <f t="shared" si="49"/>
        <v>0</v>
      </c>
      <c r="I923" s="2">
        <v>20.5</v>
      </c>
      <c r="J923">
        <f t="shared" si="50"/>
        <v>0</v>
      </c>
      <c r="K923">
        <f t="shared" si="51"/>
        <v>0</v>
      </c>
    </row>
    <row r="924" spans="2:11" x14ac:dyDescent="0.25">
      <c r="B924" s="4">
        <v>46142</v>
      </c>
      <c r="C924" t="s">
        <v>101</v>
      </c>
      <c r="E924" t="s">
        <v>73</v>
      </c>
      <c r="F924" t="s">
        <v>103</v>
      </c>
      <c r="G924">
        <v>2E-3</v>
      </c>
      <c r="H924">
        <f t="shared" si="49"/>
        <v>5.07226</v>
      </c>
      <c r="I924" s="2">
        <v>20.5</v>
      </c>
      <c r="J924">
        <f t="shared" si="50"/>
        <v>103.98133</v>
      </c>
      <c r="K924">
        <f t="shared" si="51"/>
        <v>103.98133</v>
      </c>
    </row>
    <row r="925" spans="2:11" x14ac:dyDescent="0.25">
      <c r="B925" s="4">
        <v>46142</v>
      </c>
      <c r="C925" t="s">
        <v>101</v>
      </c>
      <c r="E925" t="s">
        <v>74</v>
      </c>
      <c r="F925" t="s">
        <v>103</v>
      </c>
      <c r="G925">
        <v>1E-3</v>
      </c>
      <c r="H925">
        <f t="shared" ref="H925:H947" si="52">IF(G925=0, 0, ((405.18*G925)+4.2619))</f>
        <v>4.6670799999999995</v>
      </c>
      <c r="I925" s="2">
        <v>20.5</v>
      </c>
      <c r="J925">
        <f t="shared" si="50"/>
        <v>95.675139999999985</v>
      </c>
      <c r="K925">
        <f t="shared" si="51"/>
        <v>95.675139999999985</v>
      </c>
    </row>
    <row r="926" spans="2:11" x14ac:dyDescent="0.25">
      <c r="B926" s="4">
        <v>46142</v>
      </c>
      <c r="C926" t="s">
        <v>101</v>
      </c>
      <c r="E926" t="s">
        <v>75</v>
      </c>
      <c r="F926" t="s">
        <v>103</v>
      </c>
      <c r="G926">
        <v>0</v>
      </c>
      <c r="H926">
        <f t="shared" si="52"/>
        <v>0</v>
      </c>
      <c r="I926" s="2">
        <v>20.5</v>
      </c>
      <c r="J926">
        <f t="shared" ref="J926:J947" si="53">H926*I926</f>
        <v>0</v>
      </c>
      <c r="K926">
        <f t="shared" ref="K926:K947" si="54">MAX(J926,0)</f>
        <v>0</v>
      </c>
    </row>
    <row r="927" spans="2:11" x14ac:dyDescent="0.25">
      <c r="B927" s="4">
        <v>46142</v>
      </c>
      <c r="C927" t="s">
        <v>101</v>
      </c>
      <c r="E927" t="s">
        <v>76</v>
      </c>
      <c r="F927" t="s">
        <v>103</v>
      </c>
      <c r="G927">
        <v>0</v>
      </c>
      <c r="H927">
        <f t="shared" si="52"/>
        <v>0</v>
      </c>
      <c r="I927" s="2">
        <v>20.5</v>
      </c>
      <c r="J927">
        <f t="shared" si="53"/>
        <v>0</v>
      </c>
      <c r="K927">
        <f t="shared" si="54"/>
        <v>0</v>
      </c>
    </row>
    <row r="928" spans="2:11" x14ac:dyDescent="0.25">
      <c r="B928" s="4">
        <v>46142</v>
      </c>
      <c r="C928" t="s">
        <v>101</v>
      </c>
      <c r="E928" t="s">
        <v>77</v>
      </c>
      <c r="F928" t="s">
        <v>103</v>
      </c>
      <c r="G928">
        <v>0</v>
      </c>
      <c r="H928">
        <f t="shared" si="52"/>
        <v>0</v>
      </c>
      <c r="I928" s="2">
        <v>20.5</v>
      </c>
      <c r="J928">
        <f t="shared" si="53"/>
        <v>0</v>
      </c>
      <c r="K928">
        <f t="shared" si="54"/>
        <v>0</v>
      </c>
    </row>
    <row r="929" spans="2:11" x14ac:dyDescent="0.25">
      <c r="B929" s="4">
        <v>46142</v>
      </c>
      <c r="C929" t="s">
        <v>101</v>
      </c>
      <c r="E929" t="s">
        <v>78</v>
      </c>
      <c r="F929" t="s">
        <v>103</v>
      </c>
      <c r="G929">
        <v>0</v>
      </c>
      <c r="H929">
        <f t="shared" si="52"/>
        <v>0</v>
      </c>
      <c r="I929" s="2">
        <v>20.5</v>
      </c>
      <c r="J929">
        <f t="shared" si="53"/>
        <v>0</v>
      </c>
      <c r="K929">
        <f t="shared" si="54"/>
        <v>0</v>
      </c>
    </row>
    <row r="930" spans="2:11" x14ac:dyDescent="0.25">
      <c r="B930" s="4">
        <v>46142</v>
      </c>
      <c r="C930" t="s">
        <v>101</v>
      </c>
      <c r="E930" t="s">
        <v>79</v>
      </c>
      <c r="F930" t="s">
        <v>103</v>
      </c>
      <c r="G930">
        <v>1E-3</v>
      </c>
      <c r="H930">
        <f t="shared" si="52"/>
        <v>4.6670799999999995</v>
      </c>
      <c r="I930" s="2">
        <v>20.5</v>
      </c>
      <c r="J930">
        <f t="shared" si="53"/>
        <v>95.675139999999985</v>
      </c>
      <c r="K930">
        <f t="shared" si="54"/>
        <v>95.675139999999985</v>
      </c>
    </row>
    <row r="931" spans="2:11" x14ac:dyDescent="0.25">
      <c r="B931" s="4">
        <v>46142</v>
      </c>
      <c r="C931" t="s">
        <v>101</v>
      </c>
      <c r="E931" t="s">
        <v>80</v>
      </c>
      <c r="F931" t="s">
        <v>103</v>
      </c>
      <c r="G931">
        <v>0</v>
      </c>
      <c r="H931">
        <f t="shared" si="52"/>
        <v>0</v>
      </c>
      <c r="I931" s="2">
        <v>20.5</v>
      </c>
      <c r="J931">
        <f t="shared" si="53"/>
        <v>0</v>
      </c>
      <c r="K931">
        <f t="shared" si="54"/>
        <v>0</v>
      </c>
    </row>
    <row r="932" spans="2:11" x14ac:dyDescent="0.25">
      <c r="B932" s="4">
        <v>46142</v>
      </c>
      <c r="C932" t="s">
        <v>101</v>
      </c>
      <c r="E932" t="s">
        <v>81</v>
      </c>
      <c r="F932" t="s">
        <v>103</v>
      </c>
      <c r="G932">
        <v>0</v>
      </c>
      <c r="H932">
        <f t="shared" si="52"/>
        <v>0</v>
      </c>
      <c r="I932" s="2">
        <v>20.5</v>
      </c>
      <c r="J932">
        <f t="shared" si="53"/>
        <v>0</v>
      </c>
      <c r="K932">
        <f t="shared" si="54"/>
        <v>0</v>
      </c>
    </row>
    <row r="933" spans="2:11" x14ac:dyDescent="0.25">
      <c r="B933" s="4">
        <v>46142</v>
      </c>
      <c r="C933" t="s">
        <v>101</v>
      </c>
      <c r="D933" t="s">
        <v>98</v>
      </c>
      <c r="E933" t="s">
        <v>95</v>
      </c>
      <c r="F933" t="s">
        <v>103</v>
      </c>
      <c r="G933">
        <v>1.6E-2</v>
      </c>
      <c r="H933">
        <f t="shared" si="52"/>
        <v>10.74478</v>
      </c>
      <c r="I933" s="2">
        <v>1</v>
      </c>
      <c r="J933">
        <f t="shared" si="53"/>
        <v>10.74478</v>
      </c>
      <c r="K933">
        <f t="shared" si="54"/>
        <v>10.74478</v>
      </c>
    </row>
    <row r="934" spans="2:11" x14ac:dyDescent="0.25">
      <c r="B934" s="4">
        <v>46142</v>
      </c>
      <c r="C934" t="s">
        <v>101</v>
      </c>
      <c r="D934" t="s">
        <v>98</v>
      </c>
      <c r="E934" t="s">
        <v>96</v>
      </c>
      <c r="F934" t="s">
        <v>103</v>
      </c>
      <c r="G934">
        <v>3.3000000000000002E-2</v>
      </c>
      <c r="H934">
        <f t="shared" si="52"/>
        <v>17.632840000000002</v>
      </c>
      <c r="I934" s="2">
        <v>1</v>
      </c>
      <c r="J934">
        <f t="shared" si="53"/>
        <v>17.632840000000002</v>
      </c>
      <c r="K934">
        <f t="shared" si="54"/>
        <v>17.632840000000002</v>
      </c>
    </row>
    <row r="935" spans="2:11" x14ac:dyDescent="0.25">
      <c r="B935" s="4">
        <v>46142</v>
      </c>
      <c r="C935" t="s">
        <v>101</v>
      </c>
      <c r="D935" t="s">
        <v>98</v>
      </c>
      <c r="E935" t="s">
        <v>97</v>
      </c>
      <c r="F935" t="s">
        <v>103</v>
      </c>
      <c r="G935">
        <v>0.04</v>
      </c>
      <c r="H935">
        <f t="shared" si="52"/>
        <v>20.469100000000001</v>
      </c>
      <c r="I935" s="2">
        <v>1</v>
      </c>
      <c r="J935">
        <f t="shared" si="53"/>
        <v>20.469100000000001</v>
      </c>
      <c r="K935">
        <f t="shared" si="54"/>
        <v>20.469100000000001</v>
      </c>
    </row>
    <row r="936" spans="2:11" x14ac:dyDescent="0.25">
      <c r="B936" s="1">
        <v>46142</v>
      </c>
      <c r="C936" t="s">
        <v>102</v>
      </c>
      <c r="E936" t="s">
        <v>73</v>
      </c>
      <c r="F936" t="s">
        <v>103</v>
      </c>
      <c r="G936">
        <v>1.7000000000000001E-2</v>
      </c>
      <c r="H936">
        <f t="shared" si="52"/>
        <v>11.14996</v>
      </c>
      <c r="I936" s="2">
        <v>20.5</v>
      </c>
      <c r="J936">
        <f t="shared" si="53"/>
        <v>228.57418000000001</v>
      </c>
      <c r="K936">
        <f t="shared" si="54"/>
        <v>228.57418000000001</v>
      </c>
    </row>
    <row r="937" spans="2:11" x14ac:dyDescent="0.25">
      <c r="B937" s="1">
        <v>46142</v>
      </c>
      <c r="C937" t="s">
        <v>102</v>
      </c>
      <c r="E937" t="s">
        <v>74</v>
      </c>
      <c r="F937" t="s">
        <v>103</v>
      </c>
      <c r="G937">
        <v>0</v>
      </c>
      <c r="H937">
        <f t="shared" si="52"/>
        <v>0</v>
      </c>
      <c r="I937" s="2">
        <v>20.5</v>
      </c>
      <c r="J937">
        <f t="shared" si="53"/>
        <v>0</v>
      </c>
      <c r="K937">
        <f t="shared" si="54"/>
        <v>0</v>
      </c>
    </row>
    <row r="938" spans="2:11" x14ac:dyDescent="0.25">
      <c r="B938" s="1">
        <v>46142</v>
      </c>
      <c r="C938" t="s">
        <v>102</v>
      </c>
      <c r="E938" t="s">
        <v>75</v>
      </c>
      <c r="F938" t="s">
        <v>103</v>
      </c>
      <c r="G938">
        <v>0</v>
      </c>
      <c r="H938">
        <f t="shared" si="52"/>
        <v>0</v>
      </c>
      <c r="I938" s="2">
        <v>20.5</v>
      </c>
      <c r="J938">
        <f t="shared" si="53"/>
        <v>0</v>
      </c>
      <c r="K938">
        <f t="shared" si="54"/>
        <v>0</v>
      </c>
    </row>
    <row r="939" spans="2:11" x14ac:dyDescent="0.25">
      <c r="B939" s="1">
        <v>46142</v>
      </c>
      <c r="C939" t="s">
        <v>102</v>
      </c>
      <c r="E939" t="s">
        <v>76</v>
      </c>
      <c r="F939" t="s">
        <v>103</v>
      </c>
      <c r="G939">
        <v>6.0000000000000001E-3</v>
      </c>
      <c r="H939">
        <f t="shared" si="52"/>
        <v>6.6929800000000004</v>
      </c>
      <c r="I939" s="2">
        <v>20.5</v>
      </c>
      <c r="J939">
        <f t="shared" si="53"/>
        <v>137.20609000000002</v>
      </c>
      <c r="K939">
        <f t="shared" si="54"/>
        <v>137.20609000000002</v>
      </c>
    </row>
    <row r="940" spans="2:11" x14ac:dyDescent="0.25">
      <c r="B940" s="1">
        <v>46142</v>
      </c>
      <c r="C940" t="s">
        <v>102</v>
      </c>
      <c r="E940" t="s">
        <v>77</v>
      </c>
      <c r="F940" t="s">
        <v>103</v>
      </c>
      <c r="G940">
        <v>3.0000000000000001E-3</v>
      </c>
      <c r="H940">
        <f t="shared" si="52"/>
        <v>5.4774399999999996</v>
      </c>
      <c r="I940" s="2">
        <v>20.5</v>
      </c>
      <c r="J940">
        <f t="shared" si="53"/>
        <v>112.28751999999999</v>
      </c>
      <c r="K940">
        <f t="shared" si="54"/>
        <v>112.28751999999999</v>
      </c>
    </row>
    <row r="941" spans="2:11" x14ac:dyDescent="0.25">
      <c r="B941" s="1">
        <v>46142</v>
      </c>
      <c r="C941" t="s">
        <v>102</v>
      </c>
      <c r="E941" t="s">
        <v>78</v>
      </c>
      <c r="F941" t="s">
        <v>103</v>
      </c>
      <c r="G941">
        <v>4.0000000000000001E-3</v>
      </c>
      <c r="H941">
        <f t="shared" si="52"/>
        <v>5.8826200000000002</v>
      </c>
      <c r="I941" s="2">
        <v>20.5</v>
      </c>
      <c r="J941">
        <f t="shared" si="53"/>
        <v>120.59371</v>
      </c>
      <c r="K941">
        <f t="shared" si="54"/>
        <v>120.59371</v>
      </c>
    </row>
    <row r="942" spans="2:11" x14ac:dyDescent="0.25">
      <c r="B942" s="1">
        <v>46142</v>
      </c>
      <c r="C942" t="s">
        <v>102</v>
      </c>
      <c r="E942" t="s">
        <v>79</v>
      </c>
      <c r="F942" t="s">
        <v>103</v>
      </c>
      <c r="G942">
        <v>1.6E-2</v>
      </c>
      <c r="H942">
        <f t="shared" si="52"/>
        <v>10.74478</v>
      </c>
      <c r="I942" s="2">
        <v>20.5</v>
      </c>
      <c r="J942">
        <f t="shared" si="53"/>
        <v>220.26799</v>
      </c>
      <c r="K942">
        <f t="shared" si="54"/>
        <v>220.26799</v>
      </c>
    </row>
    <row r="943" spans="2:11" x14ac:dyDescent="0.25">
      <c r="B943" s="1">
        <v>46142</v>
      </c>
      <c r="C943" t="s">
        <v>102</v>
      </c>
      <c r="E943" t="s">
        <v>80</v>
      </c>
      <c r="F943" t="s">
        <v>103</v>
      </c>
      <c r="G943">
        <v>3.0000000000000001E-3</v>
      </c>
      <c r="H943">
        <f t="shared" si="52"/>
        <v>5.4774399999999996</v>
      </c>
      <c r="I943" s="2">
        <v>20.5</v>
      </c>
      <c r="J943">
        <f t="shared" si="53"/>
        <v>112.28751999999999</v>
      </c>
      <c r="K943">
        <f t="shared" si="54"/>
        <v>112.28751999999999</v>
      </c>
    </row>
    <row r="944" spans="2:11" x14ac:dyDescent="0.25">
      <c r="B944" s="1">
        <v>46142</v>
      </c>
      <c r="C944" t="s">
        <v>102</v>
      </c>
      <c r="E944" t="s">
        <v>81</v>
      </c>
      <c r="F944" t="s">
        <v>103</v>
      </c>
      <c r="G944">
        <v>1.6E-2</v>
      </c>
      <c r="H944">
        <f t="shared" si="52"/>
        <v>10.74478</v>
      </c>
      <c r="I944" s="2">
        <v>20.5</v>
      </c>
      <c r="J944">
        <f t="shared" si="53"/>
        <v>220.26799</v>
      </c>
      <c r="K944">
        <f t="shared" si="54"/>
        <v>220.26799</v>
      </c>
    </row>
    <row r="945" spans="2:11" x14ac:dyDescent="0.25">
      <c r="B945" s="1">
        <v>46142</v>
      </c>
      <c r="C945" t="s">
        <v>102</v>
      </c>
      <c r="D945" t="s">
        <v>98</v>
      </c>
      <c r="E945" t="s">
        <v>95</v>
      </c>
      <c r="F945" t="s">
        <v>103</v>
      </c>
      <c r="G945">
        <v>0.03</v>
      </c>
      <c r="H945">
        <f t="shared" si="52"/>
        <v>16.417300000000001</v>
      </c>
      <c r="I945" s="2">
        <v>1</v>
      </c>
      <c r="J945">
        <f t="shared" si="53"/>
        <v>16.417300000000001</v>
      </c>
      <c r="K945">
        <f t="shared" si="54"/>
        <v>16.417300000000001</v>
      </c>
    </row>
    <row r="946" spans="2:11" x14ac:dyDescent="0.25">
      <c r="B946" s="1">
        <v>46142</v>
      </c>
      <c r="C946" t="s">
        <v>102</v>
      </c>
      <c r="D946" t="s">
        <v>98</v>
      </c>
      <c r="E946" t="s">
        <v>96</v>
      </c>
      <c r="F946" t="s">
        <v>103</v>
      </c>
      <c r="G946">
        <v>5.3999999999999999E-2</v>
      </c>
      <c r="H946">
        <f t="shared" si="52"/>
        <v>26.14162</v>
      </c>
      <c r="I946" s="2">
        <v>1</v>
      </c>
      <c r="J946">
        <f t="shared" si="53"/>
        <v>26.14162</v>
      </c>
      <c r="K946">
        <f t="shared" si="54"/>
        <v>26.14162</v>
      </c>
    </row>
    <row r="947" spans="2:11" x14ac:dyDescent="0.25">
      <c r="B947" s="1">
        <v>46142</v>
      </c>
      <c r="C947" t="s">
        <v>102</v>
      </c>
      <c r="D947" t="s">
        <v>98</v>
      </c>
      <c r="E947" t="s">
        <v>97</v>
      </c>
      <c r="F947" t="s">
        <v>103</v>
      </c>
      <c r="G947">
        <v>5.0999999999999997E-2</v>
      </c>
      <c r="H947">
        <f t="shared" si="52"/>
        <v>24.926079999999999</v>
      </c>
      <c r="I947" s="2">
        <v>1</v>
      </c>
      <c r="J947">
        <f t="shared" si="53"/>
        <v>24.926079999999999</v>
      </c>
      <c r="K947">
        <f t="shared" si="54"/>
        <v>24.926079999999999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CD81-70BE-6249-970D-E7C591A5C08A}">
  <dimension ref="A1:K963"/>
  <sheetViews>
    <sheetView topLeftCell="B1" zoomScale="80" zoomScaleNormal="80" workbookViewId="0">
      <pane ySplit="1" topLeftCell="A668" activePane="bottomLeft" state="frozen"/>
      <selection pane="bottomLeft" activeCell="H17" sqref="H17"/>
    </sheetView>
  </sheetViews>
  <sheetFormatPr defaultColWidth="11" defaultRowHeight="15.75" x14ac:dyDescent="0.25"/>
  <cols>
    <col min="1" max="1" width="20.5" customWidth="1"/>
    <col min="2" max="2" width="17.875" customWidth="1"/>
    <col min="3" max="3" width="15" customWidth="1"/>
    <col min="4" max="4" width="13.5" customWidth="1"/>
    <col min="5" max="5" width="15" customWidth="1"/>
    <col min="6" max="6" width="20" customWidth="1"/>
    <col min="7" max="7" width="21.625" customWidth="1"/>
    <col min="8" max="8" width="24.5" customWidth="1"/>
    <col min="9" max="9" width="17.375" customWidth="1"/>
    <col min="10" max="10" width="27.875" customWidth="1"/>
    <col min="11" max="11" width="18.5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57</v>
      </c>
      <c r="G1" t="s">
        <v>8</v>
      </c>
      <c r="H1" t="s">
        <v>58</v>
      </c>
      <c r="I1" t="s">
        <v>92</v>
      </c>
      <c r="J1" t="s">
        <v>87</v>
      </c>
      <c r="K1" t="s">
        <v>59</v>
      </c>
    </row>
    <row r="2" spans="1:11" x14ac:dyDescent="0.25">
      <c r="A2" s="1">
        <v>45578</v>
      </c>
      <c r="B2" s="1">
        <v>45577</v>
      </c>
      <c r="C2" t="s">
        <v>50</v>
      </c>
      <c r="D2" t="s">
        <v>51</v>
      </c>
      <c r="E2">
        <v>1</v>
      </c>
      <c r="F2">
        <v>51658.68</v>
      </c>
      <c r="G2" t="s">
        <v>52</v>
      </c>
      <c r="H2">
        <f>(F2-13588)/3716.8</f>
        <v>10.242864829961256</v>
      </c>
      <c r="I2">
        <v>10</v>
      </c>
      <c r="J2">
        <f>H2*I2</f>
        <v>102.42864829961256</v>
      </c>
      <c r="K2">
        <f>MAX(J2,0)</f>
        <v>102.42864829961256</v>
      </c>
    </row>
    <row r="3" spans="1:11" x14ac:dyDescent="0.25">
      <c r="A3" s="1">
        <v>45578</v>
      </c>
      <c r="B3" s="1">
        <v>45577</v>
      </c>
      <c r="C3" t="s">
        <v>50</v>
      </c>
      <c r="D3" t="s">
        <v>51</v>
      </c>
      <c r="E3">
        <v>2</v>
      </c>
      <c r="F3">
        <v>45805.120000000003</v>
      </c>
      <c r="G3" t="s">
        <v>52</v>
      </c>
      <c r="H3">
        <f t="shared" ref="H3:H21" si="0">(F3-13588)/3716.8</f>
        <v>8.6679724494188548</v>
      </c>
      <c r="I3">
        <v>10</v>
      </c>
      <c r="J3">
        <f t="shared" ref="J3:J66" si="1">H3*I3</f>
        <v>86.679724494188548</v>
      </c>
      <c r="K3">
        <f t="shared" ref="K3:K66" si="2">MAX(J3,0)</f>
        <v>86.679724494188548</v>
      </c>
    </row>
    <row r="4" spans="1:11" x14ac:dyDescent="0.25">
      <c r="A4" s="1">
        <v>45578</v>
      </c>
      <c r="B4" s="1">
        <v>45577</v>
      </c>
      <c r="C4" t="s">
        <v>50</v>
      </c>
      <c r="D4" t="s">
        <v>51</v>
      </c>
      <c r="E4">
        <v>3</v>
      </c>
      <c r="F4">
        <v>40127.96</v>
      </c>
      <c r="G4" t="s">
        <v>52</v>
      </c>
      <c r="H4">
        <f t="shared" si="0"/>
        <v>7.1405402496771408</v>
      </c>
      <c r="I4">
        <v>10</v>
      </c>
      <c r="J4">
        <f t="shared" si="1"/>
        <v>71.405402496771416</v>
      </c>
      <c r="K4">
        <f t="shared" si="2"/>
        <v>71.405402496771416</v>
      </c>
    </row>
    <row r="5" spans="1:11" x14ac:dyDescent="0.25">
      <c r="A5" s="1">
        <v>45578</v>
      </c>
      <c r="B5" s="1">
        <v>45577</v>
      </c>
      <c r="C5" t="s">
        <v>50</v>
      </c>
      <c r="D5" t="s">
        <v>51</v>
      </c>
      <c r="E5">
        <v>4</v>
      </c>
      <c r="F5">
        <v>69767.73</v>
      </c>
      <c r="G5" t="s">
        <v>52</v>
      </c>
      <c r="H5">
        <f t="shared" si="0"/>
        <v>15.115080176495908</v>
      </c>
      <c r="I5">
        <v>10</v>
      </c>
      <c r="J5">
        <f t="shared" si="1"/>
        <v>151.15080176495908</v>
      </c>
      <c r="K5">
        <f t="shared" si="2"/>
        <v>151.15080176495908</v>
      </c>
    </row>
    <row r="6" spans="1:11" x14ac:dyDescent="0.25">
      <c r="A6" s="1">
        <v>45578</v>
      </c>
      <c r="B6" s="1">
        <v>45577</v>
      </c>
      <c r="C6" t="s">
        <v>50</v>
      </c>
      <c r="D6" t="s">
        <v>51</v>
      </c>
      <c r="E6">
        <v>5</v>
      </c>
      <c r="F6">
        <v>33564.68</v>
      </c>
      <c r="G6" t="s">
        <v>52</v>
      </c>
      <c r="H6">
        <f t="shared" si="0"/>
        <v>5.3746986655187259</v>
      </c>
      <c r="I6">
        <v>10</v>
      </c>
      <c r="J6">
        <f t="shared" si="1"/>
        <v>53.746986655187257</v>
      </c>
      <c r="K6">
        <f t="shared" si="2"/>
        <v>53.746986655187257</v>
      </c>
    </row>
    <row r="7" spans="1:11" x14ac:dyDescent="0.25">
      <c r="A7" s="1">
        <v>45578</v>
      </c>
      <c r="B7" s="1">
        <v>45577</v>
      </c>
      <c r="C7" t="s">
        <v>53</v>
      </c>
      <c r="D7" t="s">
        <v>51</v>
      </c>
      <c r="E7">
        <v>6</v>
      </c>
      <c r="F7">
        <v>113124.64</v>
      </c>
      <c r="G7" t="s">
        <v>52</v>
      </c>
      <c r="H7">
        <f t="shared" si="0"/>
        <v>26.780198019801979</v>
      </c>
      <c r="I7">
        <v>10</v>
      </c>
      <c r="J7">
        <f t="shared" si="1"/>
        <v>267.80198019801981</v>
      </c>
      <c r="K7">
        <f t="shared" si="2"/>
        <v>267.80198019801981</v>
      </c>
    </row>
    <row r="8" spans="1:11" x14ac:dyDescent="0.25">
      <c r="A8" s="1">
        <v>45578</v>
      </c>
      <c r="B8" s="1">
        <v>45577</v>
      </c>
      <c r="C8" t="s">
        <v>53</v>
      </c>
      <c r="D8" t="s">
        <v>51</v>
      </c>
      <c r="E8">
        <v>7</v>
      </c>
      <c r="F8">
        <v>37990.120000000003</v>
      </c>
      <c r="G8" t="s">
        <v>52</v>
      </c>
      <c r="H8">
        <f t="shared" si="0"/>
        <v>6.5653572965992257</v>
      </c>
      <c r="I8">
        <v>10</v>
      </c>
      <c r="J8">
        <f t="shared" si="1"/>
        <v>65.653572965992254</v>
      </c>
      <c r="K8">
        <f t="shared" si="2"/>
        <v>65.653572965992254</v>
      </c>
    </row>
    <row r="9" spans="1:11" x14ac:dyDescent="0.25">
      <c r="A9" s="1">
        <v>45578</v>
      </c>
      <c r="B9" s="1">
        <v>45577</v>
      </c>
      <c r="C9" t="s">
        <v>53</v>
      </c>
      <c r="D9" t="s">
        <v>51</v>
      </c>
      <c r="E9">
        <v>8</v>
      </c>
      <c r="F9">
        <v>38854.15</v>
      </c>
      <c r="G9" t="s">
        <v>52</v>
      </c>
      <c r="H9">
        <f t="shared" si="0"/>
        <v>6.7978233964700818</v>
      </c>
      <c r="I9">
        <v>10</v>
      </c>
      <c r="J9">
        <f t="shared" si="1"/>
        <v>67.97823396470082</v>
      </c>
      <c r="K9">
        <f t="shared" si="2"/>
        <v>67.97823396470082</v>
      </c>
    </row>
    <row r="10" spans="1:11" x14ac:dyDescent="0.25">
      <c r="A10" s="1">
        <v>45578</v>
      </c>
      <c r="B10" s="1">
        <v>45577</v>
      </c>
      <c r="C10" t="s">
        <v>53</v>
      </c>
      <c r="D10" t="s">
        <v>51</v>
      </c>
      <c r="E10">
        <v>9</v>
      </c>
      <c r="F10">
        <v>63766.51</v>
      </c>
      <c r="G10" t="s">
        <v>52</v>
      </c>
      <c r="H10">
        <f t="shared" si="0"/>
        <v>13.50046007318123</v>
      </c>
      <c r="I10">
        <v>10</v>
      </c>
      <c r="J10">
        <f t="shared" si="1"/>
        <v>135.0046007318123</v>
      </c>
      <c r="K10">
        <f t="shared" si="2"/>
        <v>135.0046007318123</v>
      </c>
    </row>
    <row r="11" spans="1:11" x14ac:dyDescent="0.25">
      <c r="A11" s="1">
        <v>45578</v>
      </c>
      <c r="B11" s="1">
        <v>45577</v>
      </c>
      <c r="C11" t="s">
        <v>53</v>
      </c>
      <c r="D11" t="s">
        <v>51</v>
      </c>
      <c r="E11">
        <v>10</v>
      </c>
      <c r="F11">
        <v>38899.46</v>
      </c>
      <c r="G11" t="s">
        <v>52</v>
      </c>
      <c r="H11">
        <f t="shared" si="0"/>
        <v>6.8100139905294874</v>
      </c>
      <c r="I11">
        <v>10</v>
      </c>
      <c r="J11">
        <f t="shared" si="1"/>
        <v>68.100139905294867</v>
      </c>
      <c r="K11">
        <f t="shared" si="2"/>
        <v>68.100139905294867</v>
      </c>
    </row>
    <row r="12" spans="1:11" x14ac:dyDescent="0.25">
      <c r="A12" s="1">
        <v>45578</v>
      </c>
      <c r="B12" s="1">
        <v>45577</v>
      </c>
      <c r="C12" t="s">
        <v>50</v>
      </c>
      <c r="D12" t="s">
        <v>54</v>
      </c>
      <c r="E12">
        <v>1</v>
      </c>
      <c r="F12">
        <v>12335.59</v>
      </c>
      <c r="G12" t="s">
        <v>52</v>
      </c>
      <c r="H12">
        <f t="shared" si="0"/>
        <v>-0.33695921222557035</v>
      </c>
      <c r="I12">
        <v>10</v>
      </c>
      <c r="J12">
        <f t="shared" si="1"/>
        <v>-3.3695921222557033</v>
      </c>
      <c r="K12">
        <f t="shared" si="2"/>
        <v>0</v>
      </c>
    </row>
    <row r="13" spans="1:11" x14ac:dyDescent="0.25">
      <c r="A13" s="1">
        <v>45578</v>
      </c>
      <c r="B13" s="1">
        <v>45577</v>
      </c>
      <c r="C13" t="s">
        <v>50</v>
      </c>
      <c r="D13" t="s">
        <v>54</v>
      </c>
      <c r="E13">
        <v>2</v>
      </c>
      <c r="F13">
        <v>13009.93</v>
      </c>
      <c r="G13" t="s">
        <v>52</v>
      </c>
      <c r="H13">
        <f t="shared" si="0"/>
        <v>-0.15552894963409375</v>
      </c>
      <c r="I13">
        <v>10</v>
      </c>
      <c r="J13">
        <f t="shared" si="1"/>
        <v>-1.5552894963409374</v>
      </c>
      <c r="K13">
        <f t="shared" si="2"/>
        <v>0</v>
      </c>
    </row>
    <row r="14" spans="1:11" x14ac:dyDescent="0.25">
      <c r="A14" s="1">
        <v>45578</v>
      </c>
      <c r="B14" s="1">
        <v>45577</v>
      </c>
      <c r="C14" t="s">
        <v>50</v>
      </c>
      <c r="D14" t="s">
        <v>54</v>
      </c>
      <c r="E14">
        <v>3</v>
      </c>
      <c r="F14">
        <v>12053.13</v>
      </c>
      <c r="G14" t="s">
        <v>52</v>
      </c>
      <c r="H14">
        <f t="shared" si="0"/>
        <v>-0.41295469220835146</v>
      </c>
      <c r="I14">
        <v>10</v>
      </c>
      <c r="J14">
        <f t="shared" si="1"/>
        <v>-4.1295469220835148</v>
      </c>
      <c r="K14">
        <f t="shared" si="2"/>
        <v>0</v>
      </c>
    </row>
    <row r="15" spans="1:11" x14ac:dyDescent="0.25">
      <c r="A15" s="1">
        <v>45578</v>
      </c>
      <c r="B15" s="1">
        <v>45577</v>
      </c>
      <c r="C15" t="s">
        <v>50</v>
      </c>
      <c r="D15" t="s">
        <v>54</v>
      </c>
      <c r="E15">
        <v>4</v>
      </c>
      <c r="F15">
        <v>11748.05</v>
      </c>
      <c r="G15" t="s">
        <v>52</v>
      </c>
      <c r="H15">
        <f t="shared" si="0"/>
        <v>-0.49503605251829547</v>
      </c>
      <c r="I15">
        <v>10</v>
      </c>
      <c r="J15">
        <f t="shared" si="1"/>
        <v>-4.9503605251829548</v>
      </c>
      <c r="K15">
        <f t="shared" si="2"/>
        <v>0</v>
      </c>
    </row>
    <row r="16" spans="1:11" x14ac:dyDescent="0.25">
      <c r="A16" s="1">
        <v>45578</v>
      </c>
      <c r="B16" s="1">
        <v>45577</v>
      </c>
      <c r="C16" t="s">
        <v>50</v>
      </c>
      <c r="D16" t="s">
        <v>54</v>
      </c>
      <c r="E16">
        <v>5</v>
      </c>
      <c r="F16">
        <v>9748.11</v>
      </c>
      <c r="G16" t="s">
        <v>52</v>
      </c>
      <c r="H16">
        <f>(F16-13588)/3716.8</f>
        <v>-1.0331171975893239</v>
      </c>
      <c r="I16">
        <v>10</v>
      </c>
      <c r="J16">
        <f t="shared" si="1"/>
        <v>-10.331171975893238</v>
      </c>
      <c r="K16">
        <f t="shared" si="2"/>
        <v>0</v>
      </c>
    </row>
    <row r="17" spans="1:11" x14ac:dyDescent="0.25">
      <c r="A17" s="1">
        <v>45578</v>
      </c>
      <c r="B17" s="1">
        <v>45577</v>
      </c>
      <c r="C17" t="s">
        <v>53</v>
      </c>
      <c r="D17" t="s">
        <v>54</v>
      </c>
      <c r="E17">
        <v>6</v>
      </c>
      <c r="F17">
        <v>10561.14</v>
      </c>
      <c r="G17" t="s">
        <v>52</v>
      </c>
      <c r="H17">
        <f t="shared" si="0"/>
        <v>-0.81437257856220413</v>
      </c>
      <c r="I17">
        <v>10</v>
      </c>
      <c r="J17">
        <f t="shared" si="1"/>
        <v>-8.143725785622042</v>
      </c>
      <c r="K17">
        <f t="shared" si="2"/>
        <v>0</v>
      </c>
    </row>
    <row r="18" spans="1:11" x14ac:dyDescent="0.25">
      <c r="A18" s="1">
        <v>45578</v>
      </c>
      <c r="B18" s="1">
        <v>45577</v>
      </c>
      <c r="C18" t="s">
        <v>53</v>
      </c>
      <c r="D18" t="s">
        <v>54</v>
      </c>
      <c r="E18">
        <v>7</v>
      </c>
      <c r="F18">
        <v>10676.67</v>
      </c>
      <c r="G18" t="s">
        <v>52</v>
      </c>
      <c r="H18">
        <f t="shared" si="0"/>
        <v>-0.78328938872148079</v>
      </c>
      <c r="I18">
        <v>10</v>
      </c>
      <c r="J18">
        <f t="shared" si="1"/>
        <v>-7.8328938872148077</v>
      </c>
      <c r="K18">
        <f t="shared" si="2"/>
        <v>0</v>
      </c>
    </row>
    <row r="19" spans="1:11" x14ac:dyDescent="0.25">
      <c r="A19" s="1">
        <v>45578</v>
      </c>
      <c r="B19" s="1">
        <v>45577</v>
      </c>
      <c r="C19" t="s">
        <v>53</v>
      </c>
      <c r="D19" t="s">
        <v>54</v>
      </c>
      <c r="E19">
        <v>8</v>
      </c>
      <c r="F19">
        <v>52209.64</v>
      </c>
      <c r="G19" t="s">
        <v>52</v>
      </c>
      <c r="H19">
        <f t="shared" si="0"/>
        <v>10.39109987085665</v>
      </c>
      <c r="I19">
        <v>10</v>
      </c>
      <c r="J19">
        <f t="shared" si="1"/>
        <v>103.9109987085665</v>
      </c>
      <c r="K19">
        <f t="shared" si="2"/>
        <v>103.9109987085665</v>
      </c>
    </row>
    <row r="20" spans="1:11" x14ac:dyDescent="0.25">
      <c r="A20" s="1">
        <v>45578</v>
      </c>
      <c r="B20" s="1">
        <v>45577</v>
      </c>
      <c r="C20" t="s">
        <v>53</v>
      </c>
      <c r="D20" t="s">
        <v>54</v>
      </c>
      <c r="E20">
        <v>9</v>
      </c>
      <c r="F20">
        <v>16401.13</v>
      </c>
      <c r="G20" t="s">
        <v>52</v>
      </c>
      <c r="H20">
        <f t="shared" si="0"/>
        <v>0.75686881188118837</v>
      </c>
      <c r="I20">
        <v>10</v>
      </c>
      <c r="J20">
        <f t="shared" si="1"/>
        <v>7.5686881188118837</v>
      </c>
      <c r="K20">
        <f t="shared" si="2"/>
        <v>7.5686881188118837</v>
      </c>
    </row>
    <row r="21" spans="1:11" x14ac:dyDescent="0.25">
      <c r="A21" s="1">
        <v>45578</v>
      </c>
      <c r="B21" s="1">
        <v>45577</v>
      </c>
      <c r="C21" t="s">
        <v>53</v>
      </c>
      <c r="D21" t="s">
        <v>54</v>
      </c>
      <c r="E21">
        <v>10</v>
      </c>
      <c r="F21">
        <v>17170.080000000002</v>
      </c>
      <c r="G21" t="s">
        <v>52</v>
      </c>
      <c r="H21">
        <f t="shared" si="0"/>
        <v>0.96375376668101631</v>
      </c>
      <c r="I21">
        <v>10</v>
      </c>
      <c r="J21">
        <f t="shared" si="1"/>
        <v>9.6375376668101627</v>
      </c>
      <c r="K21">
        <f t="shared" si="2"/>
        <v>9.6375376668101627</v>
      </c>
    </row>
    <row r="22" spans="1:11" x14ac:dyDescent="0.25">
      <c r="A22" s="1">
        <v>45664</v>
      </c>
      <c r="B22" s="1">
        <v>45637</v>
      </c>
      <c r="C22" t="s">
        <v>12</v>
      </c>
      <c r="E22" t="s">
        <v>13</v>
      </c>
      <c r="F22">
        <v>10642.75</v>
      </c>
      <c r="G22" t="s">
        <v>55</v>
      </c>
      <c r="H22">
        <f t="shared" ref="H22:H53" si="3">(F22-11074)/3284.5</f>
        <v>-0.13129852336733142</v>
      </c>
      <c r="I22">
        <v>20</v>
      </c>
      <c r="J22">
        <f t="shared" si="1"/>
        <v>-2.6259704673466282</v>
      </c>
      <c r="K22">
        <f t="shared" si="2"/>
        <v>0</v>
      </c>
    </row>
    <row r="23" spans="1:11" x14ac:dyDescent="0.25">
      <c r="A23" s="1">
        <v>45664</v>
      </c>
      <c r="B23" s="1">
        <v>45637</v>
      </c>
      <c r="C23" t="s">
        <v>12</v>
      </c>
      <c r="E23" t="s">
        <v>14</v>
      </c>
      <c r="F23">
        <v>196327.39</v>
      </c>
      <c r="G23" t="s">
        <v>55</v>
      </c>
      <c r="H23">
        <f t="shared" si="3"/>
        <v>56.402310854011269</v>
      </c>
      <c r="I23">
        <v>20</v>
      </c>
      <c r="J23">
        <f t="shared" si="1"/>
        <v>1128.0462170802255</v>
      </c>
      <c r="K23">
        <f t="shared" si="2"/>
        <v>1128.0462170802255</v>
      </c>
    </row>
    <row r="24" spans="1:11" x14ac:dyDescent="0.25">
      <c r="A24" s="1">
        <v>45664</v>
      </c>
      <c r="B24" s="1">
        <v>45637</v>
      </c>
      <c r="C24" t="s">
        <v>12</v>
      </c>
      <c r="E24" t="s">
        <v>15</v>
      </c>
      <c r="F24">
        <v>25993.53</v>
      </c>
      <c r="G24" t="s">
        <v>55</v>
      </c>
      <c r="H24">
        <f t="shared" si="3"/>
        <v>4.5424052367179168</v>
      </c>
      <c r="I24">
        <v>20</v>
      </c>
      <c r="J24">
        <f t="shared" si="1"/>
        <v>90.848104734358344</v>
      </c>
      <c r="K24">
        <f t="shared" si="2"/>
        <v>90.848104734358344</v>
      </c>
    </row>
    <row r="25" spans="1:11" x14ac:dyDescent="0.25">
      <c r="A25" s="1">
        <v>45664</v>
      </c>
      <c r="B25" s="1">
        <v>45637</v>
      </c>
      <c r="C25" t="s">
        <v>12</v>
      </c>
      <c r="E25" t="s">
        <v>16</v>
      </c>
      <c r="F25">
        <v>15012.8</v>
      </c>
      <c r="G25" t="s">
        <v>55</v>
      </c>
      <c r="H25">
        <f t="shared" si="3"/>
        <v>1.1992084031054953</v>
      </c>
      <c r="I25">
        <v>20</v>
      </c>
      <c r="J25">
        <f t="shared" si="1"/>
        <v>23.984168062109905</v>
      </c>
      <c r="K25">
        <f t="shared" si="2"/>
        <v>23.984168062109905</v>
      </c>
    </row>
    <row r="26" spans="1:11" x14ac:dyDescent="0.25">
      <c r="A26" s="1">
        <v>45664</v>
      </c>
      <c r="B26" s="1">
        <v>45637</v>
      </c>
      <c r="C26" t="s">
        <v>12</v>
      </c>
      <c r="E26" t="s">
        <v>17</v>
      </c>
      <c r="F26">
        <v>14082.51</v>
      </c>
      <c r="G26" t="s">
        <v>55</v>
      </c>
      <c r="H26">
        <f t="shared" si="3"/>
        <v>0.91597198964834836</v>
      </c>
      <c r="I26">
        <v>20</v>
      </c>
      <c r="J26">
        <f t="shared" si="1"/>
        <v>18.319439792966968</v>
      </c>
      <c r="K26">
        <f t="shared" si="2"/>
        <v>18.319439792966968</v>
      </c>
    </row>
    <row r="27" spans="1:11" x14ac:dyDescent="0.25">
      <c r="A27" s="1">
        <v>45664</v>
      </c>
      <c r="B27" s="1">
        <v>45637</v>
      </c>
      <c r="C27" t="s">
        <v>12</v>
      </c>
      <c r="E27" t="s">
        <v>12</v>
      </c>
      <c r="F27">
        <v>16350.73</v>
      </c>
      <c r="G27" t="s">
        <v>55</v>
      </c>
      <c r="H27">
        <f t="shared" si="3"/>
        <v>1.6065550312071852</v>
      </c>
      <c r="I27">
        <v>20</v>
      </c>
      <c r="J27">
        <f t="shared" si="1"/>
        <v>32.131100624143706</v>
      </c>
      <c r="K27">
        <f t="shared" si="2"/>
        <v>32.131100624143706</v>
      </c>
    </row>
    <row r="28" spans="1:11" x14ac:dyDescent="0.25">
      <c r="A28" s="1">
        <v>45664</v>
      </c>
      <c r="B28" s="1">
        <v>45637</v>
      </c>
      <c r="C28" t="s">
        <v>12</v>
      </c>
      <c r="E28" t="s">
        <v>18</v>
      </c>
      <c r="F28">
        <v>10086.879999999999</v>
      </c>
      <c r="G28" t="s">
        <v>55</v>
      </c>
      <c r="H28">
        <f t="shared" si="3"/>
        <v>-0.30053889480895135</v>
      </c>
      <c r="I28">
        <v>20</v>
      </c>
      <c r="J28">
        <f t="shared" si="1"/>
        <v>-6.010777896179027</v>
      </c>
      <c r="K28">
        <f t="shared" si="2"/>
        <v>0</v>
      </c>
    </row>
    <row r="29" spans="1:11" x14ac:dyDescent="0.25">
      <c r="A29" s="1">
        <v>45664</v>
      </c>
      <c r="B29" s="1">
        <v>45637</v>
      </c>
      <c r="C29" t="s">
        <v>12</v>
      </c>
      <c r="E29" t="s">
        <v>19</v>
      </c>
      <c r="F29">
        <v>10798.86</v>
      </c>
      <c r="G29" t="s">
        <v>55</v>
      </c>
      <c r="H29">
        <f t="shared" si="3"/>
        <v>-8.3769219059217359E-2</v>
      </c>
      <c r="I29">
        <v>20</v>
      </c>
      <c r="J29">
        <f t="shared" si="1"/>
        <v>-1.6753843811843472</v>
      </c>
      <c r="K29">
        <f t="shared" si="2"/>
        <v>0</v>
      </c>
    </row>
    <row r="30" spans="1:11" x14ac:dyDescent="0.25">
      <c r="A30" s="1">
        <v>45664</v>
      </c>
      <c r="B30" s="1">
        <v>45637</v>
      </c>
      <c r="C30" t="s">
        <v>12</v>
      </c>
      <c r="E30" t="s">
        <v>20</v>
      </c>
      <c r="F30">
        <v>9668.09</v>
      </c>
      <c r="G30" t="s">
        <v>55</v>
      </c>
      <c r="H30">
        <f t="shared" si="3"/>
        <v>-0.42804384228954173</v>
      </c>
      <c r="I30">
        <v>20</v>
      </c>
      <c r="J30">
        <f t="shared" si="1"/>
        <v>-8.5608768457908351</v>
      </c>
      <c r="K30">
        <f t="shared" si="2"/>
        <v>0</v>
      </c>
    </row>
    <row r="31" spans="1:11" x14ac:dyDescent="0.25">
      <c r="A31" s="1">
        <v>45664</v>
      </c>
      <c r="B31" s="1">
        <v>45637</v>
      </c>
      <c r="C31" t="s">
        <v>12</v>
      </c>
      <c r="E31" t="s">
        <v>21</v>
      </c>
      <c r="F31">
        <v>8397.32</v>
      </c>
      <c r="G31" t="s">
        <v>55</v>
      </c>
      <c r="H31">
        <f t="shared" si="3"/>
        <v>-0.81494291368549254</v>
      </c>
      <c r="I31">
        <v>20</v>
      </c>
      <c r="J31">
        <f t="shared" si="1"/>
        <v>-16.29885827370985</v>
      </c>
      <c r="K31">
        <f t="shared" si="2"/>
        <v>0</v>
      </c>
    </row>
    <row r="32" spans="1:11" x14ac:dyDescent="0.25">
      <c r="A32" s="1">
        <v>45664</v>
      </c>
      <c r="B32" s="1">
        <v>45637</v>
      </c>
      <c r="C32" t="s">
        <v>12</v>
      </c>
      <c r="E32" t="s">
        <v>22</v>
      </c>
      <c r="F32">
        <v>11579.26</v>
      </c>
      <c r="G32" t="s">
        <v>55</v>
      </c>
      <c r="H32">
        <f t="shared" si="3"/>
        <v>0.15383163342974585</v>
      </c>
      <c r="I32">
        <v>20</v>
      </c>
      <c r="J32">
        <f t="shared" si="1"/>
        <v>3.0766326685949168</v>
      </c>
      <c r="K32">
        <f t="shared" si="2"/>
        <v>3.0766326685949168</v>
      </c>
    </row>
    <row r="33" spans="1:11" x14ac:dyDescent="0.25">
      <c r="A33" s="1">
        <v>45664</v>
      </c>
      <c r="B33" s="1">
        <v>45637</v>
      </c>
      <c r="C33" t="s">
        <v>12</v>
      </c>
      <c r="E33" t="s">
        <v>23</v>
      </c>
      <c r="F33">
        <v>9500.9</v>
      </c>
      <c r="G33" t="s">
        <v>55</v>
      </c>
      <c r="H33">
        <f t="shared" si="3"/>
        <v>-0.47894656720962103</v>
      </c>
      <c r="I33">
        <v>20</v>
      </c>
      <c r="J33">
        <f t="shared" si="1"/>
        <v>-9.5789313441924211</v>
      </c>
      <c r="K33">
        <f t="shared" si="2"/>
        <v>0</v>
      </c>
    </row>
    <row r="34" spans="1:11" x14ac:dyDescent="0.25">
      <c r="A34" s="1">
        <v>45664</v>
      </c>
      <c r="B34" s="1">
        <v>45637</v>
      </c>
      <c r="C34" t="s">
        <v>12</v>
      </c>
      <c r="E34" t="s">
        <v>24</v>
      </c>
      <c r="F34">
        <v>17485.41</v>
      </c>
      <c r="G34" t="s">
        <v>55</v>
      </c>
      <c r="H34">
        <f t="shared" si="3"/>
        <v>1.9520200943827066</v>
      </c>
      <c r="I34">
        <v>20</v>
      </c>
      <c r="J34">
        <f t="shared" si="1"/>
        <v>39.040401887654134</v>
      </c>
      <c r="K34">
        <f t="shared" si="2"/>
        <v>39.040401887654134</v>
      </c>
    </row>
    <row r="35" spans="1:11" x14ac:dyDescent="0.25">
      <c r="A35" s="1">
        <v>45664</v>
      </c>
      <c r="B35" s="1">
        <v>45637</v>
      </c>
      <c r="C35" t="s">
        <v>12</v>
      </c>
      <c r="E35" t="s">
        <v>25</v>
      </c>
      <c r="F35">
        <v>8996.2000000000007</v>
      </c>
      <c r="G35" t="s">
        <v>55</v>
      </c>
      <c r="H35">
        <f t="shared" si="3"/>
        <v>-0.63260770284670398</v>
      </c>
      <c r="I35">
        <v>20</v>
      </c>
      <c r="J35">
        <f t="shared" si="1"/>
        <v>-12.65215405693408</v>
      </c>
      <c r="K35">
        <f t="shared" si="2"/>
        <v>0</v>
      </c>
    </row>
    <row r="36" spans="1:11" x14ac:dyDescent="0.25">
      <c r="A36" s="1">
        <v>45664</v>
      </c>
      <c r="B36" s="1">
        <v>45637</v>
      </c>
      <c r="C36" t="s">
        <v>12</v>
      </c>
      <c r="E36" t="s">
        <v>26</v>
      </c>
      <c r="F36">
        <v>8658.99</v>
      </c>
      <c r="G36" t="s">
        <v>55</v>
      </c>
      <c r="H36">
        <f t="shared" si="3"/>
        <v>-0.73527477546049635</v>
      </c>
      <c r="I36">
        <v>20</v>
      </c>
      <c r="J36">
        <f t="shared" si="1"/>
        <v>-14.705495509209927</v>
      </c>
      <c r="K36">
        <f t="shared" si="2"/>
        <v>0</v>
      </c>
    </row>
    <row r="37" spans="1:11" x14ac:dyDescent="0.25">
      <c r="A37" s="1">
        <v>45664</v>
      </c>
      <c r="B37" s="1">
        <v>45637</v>
      </c>
      <c r="C37" t="s">
        <v>12</v>
      </c>
      <c r="E37" t="s">
        <v>27</v>
      </c>
      <c r="F37">
        <v>11615.82</v>
      </c>
      <c r="G37" t="s">
        <v>55</v>
      </c>
      <c r="H37">
        <f t="shared" si="3"/>
        <v>0.16496270360785498</v>
      </c>
      <c r="I37">
        <v>20</v>
      </c>
      <c r="J37">
        <f t="shared" si="1"/>
        <v>3.2992540721570993</v>
      </c>
      <c r="K37">
        <f t="shared" si="2"/>
        <v>3.2992540721570993</v>
      </c>
    </row>
    <row r="38" spans="1:11" x14ac:dyDescent="0.25">
      <c r="A38" s="1">
        <v>45664</v>
      </c>
      <c r="B38" s="1">
        <v>45637</v>
      </c>
      <c r="C38" t="s">
        <v>12</v>
      </c>
      <c r="E38" t="s">
        <v>28</v>
      </c>
      <c r="F38">
        <v>12794.57</v>
      </c>
      <c r="G38" t="s">
        <v>55</v>
      </c>
      <c r="H38">
        <f t="shared" si="3"/>
        <v>0.52384533414522749</v>
      </c>
      <c r="I38">
        <v>20</v>
      </c>
      <c r="J38">
        <f t="shared" si="1"/>
        <v>10.47690668290455</v>
      </c>
      <c r="K38">
        <f t="shared" si="2"/>
        <v>10.47690668290455</v>
      </c>
    </row>
    <row r="39" spans="1:11" x14ac:dyDescent="0.25">
      <c r="A39" s="1">
        <v>45664</v>
      </c>
      <c r="B39" s="1">
        <v>45637</v>
      </c>
      <c r="C39" t="s">
        <v>12</v>
      </c>
      <c r="E39" t="s">
        <v>29</v>
      </c>
      <c r="F39">
        <v>23448.67</v>
      </c>
      <c r="G39" t="s">
        <v>55</v>
      </c>
      <c r="H39">
        <f t="shared" si="3"/>
        <v>3.7675962855838021</v>
      </c>
      <c r="I39">
        <v>20</v>
      </c>
      <c r="J39">
        <f t="shared" si="1"/>
        <v>75.351925711676046</v>
      </c>
      <c r="K39">
        <f t="shared" si="2"/>
        <v>75.351925711676046</v>
      </c>
    </row>
    <row r="40" spans="1:11" x14ac:dyDescent="0.25">
      <c r="A40" s="1">
        <v>45664</v>
      </c>
      <c r="B40" s="1">
        <v>45636</v>
      </c>
      <c r="C40">
        <v>1</v>
      </c>
      <c r="E40">
        <v>1</v>
      </c>
      <c r="F40">
        <v>20921.77</v>
      </c>
      <c r="G40" t="s">
        <v>55</v>
      </c>
      <c r="H40">
        <f t="shared" si="3"/>
        <v>2.99825544222865</v>
      </c>
      <c r="I40">
        <v>20</v>
      </c>
      <c r="J40">
        <f t="shared" si="1"/>
        <v>59.965108844573003</v>
      </c>
      <c r="K40">
        <f t="shared" si="2"/>
        <v>59.965108844573003</v>
      </c>
    </row>
    <row r="41" spans="1:11" x14ac:dyDescent="0.25">
      <c r="A41" s="1">
        <v>45664</v>
      </c>
      <c r="B41" s="1">
        <v>45636</v>
      </c>
      <c r="C41">
        <v>1</v>
      </c>
      <c r="E41">
        <v>2</v>
      </c>
      <c r="F41">
        <v>17191.87</v>
      </c>
      <c r="G41" t="s">
        <v>55</v>
      </c>
      <c r="H41">
        <f t="shared" si="3"/>
        <v>1.8626488049931493</v>
      </c>
      <c r="I41">
        <v>20</v>
      </c>
      <c r="J41">
        <f t="shared" si="1"/>
        <v>37.252976099862984</v>
      </c>
      <c r="K41">
        <f t="shared" si="2"/>
        <v>37.252976099862984</v>
      </c>
    </row>
    <row r="42" spans="1:11" x14ac:dyDescent="0.25">
      <c r="A42" s="1">
        <v>45664</v>
      </c>
      <c r="B42" s="1">
        <v>45636</v>
      </c>
      <c r="C42">
        <v>1</v>
      </c>
      <c r="E42">
        <v>3</v>
      </c>
      <c r="F42">
        <v>21495.59</v>
      </c>
      <c r="G42" t="s">
        <v>55</v>
      </c>
      <c r="H42">
        <f t="shared" si="3"/>
        <v>3.1729608768457909</v>
      </c>
      <c r="I42">
        <v>20</v>
      </c>
      <c r="J42">
        <f t="shared" si="1"/>
        <v>63.459217536915816</v>
      </c>
      <c r="K42">
        <f t="shared" si="2"/>
        <v>63.459217536915816</v>
      </c>
    </row>
    <row r="43" spans="1:11" x14ac:dyDescent="0.25">
      <c r="A43" s="1">
        <v>45664</v>
      </c>
      <c r="B43" s="1">
        <v>45636</v>
      </c>
      <c r="C43">
        <v>2</v>
      </c>
      <c r="E43">
        <v>1</v>
      </c>
      <c r="F43">
        <v>61790.06</v>
      </c>
      <c r="G43" t="s">
        <v>55</v>
      </c>
      <c r="H43">
        <f t="shared" si="3"/>
        <v>15.441029075962856</v>
      </c>
      <c r="I43">
        <v>20</v>
      </c>
      <c r="J43">
        <f t="shared" si="1"/>
        <v>308.82058151925713</v>
      </c>
      <c r="K43">
        <f t="shared" si="2"/>
        <v>308.82058151925713</v>
      </c>
    </row>
    <row r="44" spans="1:11" x14ac:dyDescent="0.25">
      <c r="A44" s="1">
        <v>45664</v>
      </c>
      <c r="B44" s="1">
        <v>45636</v>
      </c>
      <c r="C44">
        <v>2</v>
      </c>
      <c r="E44">
        <v>2</v>
      </c>
      <c r="F44">
        <v>43011.55</v>
      </c>
      <c r="G44" t="s">
        <v>55</v>
      </c>
      <c r="H44">
        <f t="shared" si="3"/>
        <v>9.7237174608007315</v>
      </c>
      <c r="I44">
        <v>20</v>
      </c>
      <c r="J44">
        <f t="shared" si="1"/>
        <v>194.47434921601462</v>
      </c>
      <c r="K44">
        <f t="shared" si="2"/>
        <v>194.47434921601462</v>
      </c>
    </row>
    <row r="45" spans="1:11" x14ac:dyDescent="0.25">
      <c r="A45" s="1">
        <v>45664</v>
      </c>
      <c r="B45" s="1">
        <v>45636</v>
      </c>
      <c r="C45">
        <v>2</v>
      </c>
      <c r="E45">
        <v>3</v>
      </c>
      <c r="F45">
        <v>59814.45</v>
      </c>
      <c r="G45" t="s">
        <v>55</v>
      </c>
      <c r="H45">
        <f t="shared" si="3"/>
        <v>14.839534175673618</v>
      </c>
      <c r="I45">
        <v>20</v>
      </c>
      <c r="J45">
        <f t="shared" si="1"/>
        <v>296.79068351347235</v>
      </c>
      <c r="K45">
        <f t="shared" si="2"/>
        <v>296.79068351347235</v>
      </c>
    </row>
    <row r="46" spans="1:11" x14ac:dyDescent="0.25">
      <c r="A46" s="1">
        <v>45664</v>
      </c>
      <c r="B46" s="1">
        <v>45636</v>
      </c>
      <c r="C46">
        <v>3</v>
      </c>
      <c r="E46">
        <v>1</v>
      </c>
      <c r="F46">
        <v>162937.41</v>
      </c>
      <c r="G46" t="s">
        <v>55</v>
      </c>
      <c r="H46">
        <f t="shared" si="3"/>
        <v>46.236386055716245</v>
      </c>
      <c r="I46">
        <v>20</v>
      </c>
      <c r="J46">
        <f t="shared" si="1"/>
        <v>924.72772111432494</v>
      </c>
      <c r="K46">
        <f t="shared" si="2"/>
        <v>924.72772111432494</v>
      </c>
    </row>
    <row r="47" spans="1:11" x14ac:dyDescent="0.25">
      <c r="A47" s="1">
        <v>45664</v>
      </c>
      <c r="B47" s="1">
        <v>45636</v>
      </c>
      <c r="C47">
        <v>3</v>
      </c>
      <c r="E47">
        <v>2</v>
      </c>
      <c r="F47">
        <v>126464.91</v>
      </c>
      <c r="G47" t="s">
        <v>55</v>
      </c>
      <c r="H47">
        <f t="shared" si="3"/>
        <v>35.131956157710462</v>
      </c>
      <c r="I47">
        <v>20</v>
      </c>
      <c r="J47">
        <f t="shared" si="1"/>
        <v>702.6391231542093</v>
      </c>
      <c r="K47">
        <f t="shared" si="2"/>
        <v>702.6391231542093</v>
      </c>
    </row>
    <row r="48" spans="1:11" x14ac:dyDescent="0.25">
      <c r="A48" s="1">
        <v>45664</v>
      </c>
      <c r="B48" s="1">
        <v>45636</v>
      </c>
      <c r="C48">
        <v>3</v>
      </c>
      <c r="E48">
        <v>3</v>
      </c>
      <c r="F48">
        <v>50312.95</v>
      </c>
      <c r="G48" t="s">
        <v>55</v>
      </c>
      <c r="H48">
        <f t="shared" si="3"/>
        <v>11.946704216775764</v>
      </c>
      <c r="I48">
        <v>20</v>
      </c>
      <c r="J48">
        <f t="shared" si="1"/>
        <v>238.93408433551528</v>
      </c>
      <c r="K48">
        <f t="shared" si="2"/>
        <v>238.93408433551528</v>
      </c>
    </row>
    <row r="49" spans="1:11" x14ac:dyDescent="0.25">
      <c r="A49" s="1">
        <v>45664</v>
      </c>
      <c r="B49" s="1">
        <v>45636</v>
      </c>
      <c r="C49">
        <v>4</v>
      </c>
      <c r="E49">
        <v>1</v>
      </c>
      <c r="F49">
        <v>374143.88</v>
      </c>
      <c r="G49" t="s">
        <v>55</v>
      </c>
      <c r="H49">
        <f t="shared" si="3"/>
        <v>110.54038057543005</v>
      </c>
      <c r="I49">
        <v>20</v>
      </c>
      <c r="J49">
        <f t="shared" si="1"/>
        <v>2210.807611508601</v>
      </c>
      <c r="K49">
        <f t="shared" si="2"/>
        <v>2210.807611508601</v>
      </c>
    </row>
    <row r="50" spans="1:11" x14ac:dyDescent="0.25">
      <c r="A50" s="1">
        <v>45664</v>
      </c>
      <c r="B50" s="1">
        <v>45636</v>
      </c>
      <c r="C50">
        <v>4</v>
      </c>
      <c r="E50">
        <v>2</v>
      </c>
      <c r="F50">
        <v>34109.39</v>
      </c>
      <c r="G50" t="s">
        <v>55</v>
      </c>
      <c r="H50">
        <f t="shared" si="3"/>
        <v>7.0133627644999237</v>
      </c>
      <c r="I50">
        <v>20</v>
      </c>
      <c r="J50">
        <f t="shared" si="1"/>
        <v>140.26725528999847</v>
      </c>
      <c r="K50">
        <f t="shared" si="2"/>
        <v>140.26725528999847</v>
      </c>
    </row>
    <row r="51" spans="1:11" x14ac:dyDescent="0.25">
      <c r="A51" s="1">
        <v>45664</v>
      </c>
      <c r="B51" s="1">
        <v>45636</v>
      </c>
      <c r="C51">
        <v>4</v>
      </c>
      <c r="E51">
        <v>3</v>
      </c>
      <c r="F51">
        <v>28817.53</v>
      </c>
      <c r="G51" t="s">
        <v>55</v>
      </c>
      <c r="H51">
        <f t="shared" si="3"/>
        <v>5.40220124828741</v>
      </c>
      <c r="I51">
        <v>20</v>
      </c>
      <c r="J51">
        <f t="shared" si="1"/>
        <v>108.04402496574821</v>
      </c>
      <c r="K51">
        <f t="shared" si="2"/>
        <v>108.04402496574821</v>
      </c>
    </row>
    <row r="52" spans="1:11" x14ac:dyDescent="0.25">
      <c r="A52" s="1">
        <v>45664</v>
      </c>
      <c r="B52" s="1">
        <v>45636</v>
      </c>
      <c r="C52">
        <v>5</v>
      </c>
      <c r="E52">
        <v>1</v>
      </c>
      <c r="F52">
        <v>23984.67</v>
      </c>
      <c r="G52" t="s">
        <v>55</v>
      </c>
      <c r="H52">
        <f t="shared" si="3"/>
        <v>3.9307870299893435</v>
      </c>
      <c r="I52">
        <v>20</v>
      </c>
      <c r="J52">
        <f t="shared" si="1"/>
        <v>78.615740599786875</v>
      </c>
      <c r="K52">
        <f t="shared" si="2"/>
        <v>78.615740599786875</v>
      </c>
    </row>
    <row r="53" spans="1:11" x14ac:dyDescent="0.25">
      <c r="A53" s="1">
        <v>45664</v>
      </c>
      <c r="B53" s="1">
        <v>45636</v>
      </c>
      <c r="C53">
        <v>5</v>
      </c>
      <c r="E53">
        <v>2</v>
      </c>
      <c r="F53">
        <v>422387.22</v>
      </c>
      <c r="G53" t="s">
        <v>55</v>
      </c>
      <c r="H53">
        <f t="shared" si="3"/>
        <v>125.22856446947785</v>
      </c>
      <c r="I53">
        <v>20</v>
      </c>
      <c r="J53">
        <f t="shared" si="1"/>
        <v>2504.571289389557</v>
      </c>
      <c r="K53">
        <f t="shared" si="2"/>
        <v>2504.571289389557</v>
      </c>
    </row>
    <row r="54" spans="1:11" x14ac:dyDescent="0.25">
      <c r="A54" s="1">
        <v>45664</v>
      </c>
      <c r="B54" s="1">
        <v>45636</v>
      </c>
      <c r="C54">
        <v>5</v>
      </c>
      <c r="E54">
        <v>3</v>
      </c>
      <c r="F54">
        <v>23958.25</v>
      </c>
      <c r="G54" t="s">
        <v>55</v>
      </c>
      <c r="H54">
        <f t="shared" ref="H54:H75" si="4">(F54-11074)/3284.5</f>
        <v>3.922743187699802</v>
      </c>
      <c r="I54">
        <v>20</v>
      </c>
      <c r="J54">
        <f t="shared" si="1"/>
        <v>78.454863753996037</v>
      </c>
      <c r="K54">
        <f t="shared" si="2"/>
        <v>78.454863753996037</v>
      </c>
    </row>
    <row r="55" spans="1:11" x14ac:dyDescent="0.25">
      <c r="A55" s="1">
        <v>45664</v>
      </c>
      <c r="B55" s="1">
        <v>45636</v>
      </c>
      <c r="C55">
        <v>6</v>
      </c>
      <c r="E55">
        <v>1</v>
      </c>
      <c r="F55">
        <v>15572.43</v>
      </c>
      <c r="G55" t="s">
        <v>55</v>
      </c>
      <c r="H55">
        <f t="shared" si="4"/>
        <v>1.3695935454407064</v>
      </c>
      <c r="I55">
        <v>20</v>
      </c>
      <c r="J55">
        <f t="shared" si="1"/>
        <v>27.391870908814127</v>
      </c>
      <c r="K55">
        <f t="shared" si="2"/>
        <v>27.391870908814127</v>
      </c>
    </row>
    <row r="56" spans="1:11" x14ac:dyDescent="0.25">
      <c r="A56" s="1">
        <v>45664</v>
      </c>
      <c r="B56" s="1">
        <v>45636</v>
      </c>
      <c r="C56">
        <v>6</v>
      </c>
      <c r="E56">
        <v>2</v>
      </c>
      <c r="F56">
        <v>17384.87</v>
      </c>
      <c r="G56" t="s">
        <v>55</v>
      </c>
      <c r="H56">
        <f t="shared" si="4"/>
        <v>1.9214096513929058</v>
      </c>
      <c r="I56">
        <v>20</v>
      </c>
      <c r="J56">
        <f t="shared" si="1"/>
        <v>38.428193027858114</v>
      </c>
      <c r="K56">
        <f t="shared" si="2"/>
        <v>38.428193027858114</v>
      </c>
    </row>
    <row r="57" spans="1:11" x14ac:dyDescent="0.25">
      <c r="A57" s="1">
        <v>45664</v>
      </c>
      <c r="B57" s="1">
        <v>45636</v>
      </c>
      <c r="C57">
        <v>6</v>
      </c>
      <c r="E57">
        <v>3</v>
      </c>
      <c r="F57">
        <v>24745.37</v>
      </c>
      <c r="G57" t="s">
        <v>55</v>
      </c>
      <c r="H57">
        <f t="shared" si="4"/>
        <v>4.1623900137007155</v>
      </c>
      <c r="I57">
        <v>20</v>
      </c>
      <c r="J57">
        <f t="shared" si="1"/>
        <v>83.24780027401431</v>
      </c>
      <c r="K57">
        <f t="shared" si="2"/>
        <v>83.24780027401431</v>
      </c>
    </row>
    <row r="58" spans="1:11" x14ac:dyDescent="0.25">
      <c r="A58" s="1">
        <v>45664</v>
      </c>
      <c r="B58" s="1">
        <v>45637</v>
      </c>
      <c r="C58" t="s">
        <v>30</v>
      </c>
      <c r="E58" t="s">
        <v>13</v>
      </c>
      <c r="F58">
        <v>23684.09</v>
      </c>
      <c r="G58" t="s">
        <v>55</v>
      </c>
      <c r="H58">
        <f t="shared" si="4"/>
        <v>3.839272339777744</v>
      </c>
      <c r="I58">
        <v>20</v>
      </c>
      <c r="J58">
        <f t="shared" si="1"/>
        <v>76.785446795554876</v>
      </c>
      <c r="K58">
        <f t="shared" si="2"/>
        <v>76.785446795554876</v>
      </c>
    </row>
    <row r="59" spans="1:11" x14ac:dyDescent="0.25">
      <c r="A59" s="1">
        <v>45664</v>
      </c>
      <c r="B59" s="1">
        <v>45637</v>
      </c>
      <c r="C59" t="s">
        <v>30</v>
      </c>
      <c r="E59" t="s">
        <v>14</v>
      </c>
      <c r="F59">
        <v>22829.03</v>
      </c>
      <c r="G59" t="s">
        <v>55</v>
      </c>
      <c r="H59">
        <f t="shared" si="4"/>
        <v>3.5789404780027398</v>
      </c>
      <c r="I59">
        <v>20</v>
      </c>
      <c r="J59">
        <f t="shared" si="1"/>
        <v>71.578809560054793</v>
      </c>
      <c r="K59">
        <f t="shared" si="2"/>
        <v>71.578809560054793</v>
      </c>
    </row>
    <row r="60" spans="1:11" x14ac:dyDescent="0.25">
      <c r="A60" s="1">
        <v>45664</v>
      </c>
      <c r="B60" s="1">
        <v>45637</v>
      </c>
      <c r="C60" t="s">
        <v>30</v>
      </c>
      <c r="E60" t="s">
        <v>15</v>
      </c>
      <c r="F60">
        <v>18077.060000000001</v>
      </c>
      <c r="G60" t="s">
        <v>55</v>
      </c>
      <c r="H60">
        <f t="shared" si="4"/>
        <v>2.1321540569340849</v>
      </c>
      <c r="I60">
        <v>20</v>
      </c>
      <c r="J60">
        <f t="shared" si="1"/>
        <v>42.643081138681694</v>
      </c>
      <c r="K60">
        <f t="shared" si="2"/>
        <v>42.643081138681694</v>
      </c>
    </row>
    <row r="61" spans="1:11" x14ac:dyDescent="0.25">
      <c r="A61" s="1">
        <v>45664</v>
      </c>
      <c r="B61" s="1">
        <v>45637</v>
      </c>
      <c r="C61" t="s">
        <v>30</v>
      </c>
      <c r="E61" t="s">
        <v>16</v>
      </c>
      <c r="F61">
        <v>14344.63</v>
      </c>
      <c r="G61" t="s">
        <v>55</v>
      </c>
      <c r="H61">
        <f t="shared" si="4"/>
        <v>0.99577713502816234</v>
      </c>
      <c r="I61">
        <v>20</v>
      </c>
      <c r="J61">
        <f t="shared" si="1"/>
        <v>19.915542700563247</v>
      </c>
      <c r="K61">
        <f t="shared" si="2"/>
        <v>19.915542700563247</v>
      </c>
    </row>
    <row r="62" spans="1:11" x14ac:dyDescent="0.25">
      <c r="A62" s="1">
        <v>45664</v>
      </c>
      <c r="B62" s="1">
        <v>45637</v>
      </c>
      <c r="C62" t="s">
        <v>30</v>
      </c>
      <c r="E62" t="s">
        <v>17</v>
      </c>
      <c r="F62">
        <v>11973.06</v>
      </c>
      <c r="G62" t="s">
        <v>55</v>
      </c>
      <c r="H62">
        <f t="shared" si="4"/>
        <v>0.27372811691277193</v>
      </c>
      <c r="I62">
        <v>20</v>
      </c>
      <c r="J62">
        <f t="shared" si="1"/>
        <v>5.4745623382554385</v>
      </c>
      <c r="K62">
        <f t="shared" si="2"/>
        <v>5.4745623382554385</v>
      </c>
    </row>
    <row r="63" spans="1:11" x14ac:dyDescent="0.25">
      <c r="A63" s="1">
        <v>45664</v>
      </c>
      <c r="B63" s="1">
        <v>45637</v>
      </c>
      <c r="C63" t="s">
        <v>30</v>
      </c>
      <c r="E63" t="s">
        <v>12</v>
      </c>
      <c r="F63">
        <v>35323.449999999997</v>
      </c>
      <c r="G63" t="s">
        <v>55</v>
      </c>
      <c r="H63">
        <f t="shared" si="4"/>
        <v>7.3829958897853549</v>
      </c>
      <c r="I63">
        <v>20</v>
      </c>
      <c r="J63">
        <f t="shared" si="1"/>
        <v>147.65991779570709</v>
      </c>
      <c r="K63">
        <f t="shared" si="2"/>
        <v>147.65991779570709</v>
      </c>
    </row>
    <row r="64" spans="1:11" x14ac:dyDescent="0.25">
      <c r="A64" s="1">
        <v>45664</v>
      </c>
      <c r="B64" s="1">
        <v>45637</v>
      </c>
      <c r="C64" t="s">
        <v>30</v>
      </c>
      <c r="E64" t="s">
        <v>18</v>
      </c>
      <c r="F64">
        <v>538293</v>
      </c>
      <c r="G64" t="s">
        <v>55</v>
      </c>
      <c r="H64">
        <f t="shared" si="4"/>
        <v>160.51727812452427</v>
      </c>
      <c r="I64">
        <v>20</v>
      </c>
      <c r="J64">
        <f t="shared" si="1"/>
        <v>3210.3455624904855</v>
      </c>
      <c r="K64">
        <f t="shared" si="2"/>
        <v>3210.3455624904855</v>
      </c>
    </row>
    <row r="65" spans="1:11" x14ac:dyDescent="0.25">
      <c r="A65" s="1">
        <v>45664</v>
      </c>
      <c r="B65" s="1">
        <v>45637</v>
      </c>
      <c r="C65" t="s">
        <v>30</v>
      </c>
      <c r="E65" t="s">
        <v>19</v>
      </c>
      <c r="F65">
        <v>16354.99</v>
      </c>
      <c r="G65" t="s">
        <v>55</v>
      </c>
      <c r="H65">
        <f t="shared" si="4"/>
        <v>1.6078520322727965</v>
      </c>
      <c r="I65">
        <v>20</v>
      </c>
      <c r="J65">
        <f t="shared" si="1"/>
        <v>32.157040645455929</v>
      </c>
      <c r="K65">
        <f t="shared" si="2"/>
        <v>32.157040645455929</v>
      </c>
    </row>
    <row r="66" spans="1:11" x14ac:dyDescent="0.25">
      <c r="A66" s="1">
        <v>45664</v>
      </c>
      <c r="B66" s="1">
        <v>45637</v>
      </c>
      <c r="C66" t="s">
        <v>30</v>
      </c>
      <c r="E66" t="s">
        <v>20</v>
      </c>
      <c r="F66">
        <v>453649.47</v>
      </c>
      <c r="G66" t="s">
        <v>55</v>
      </c>
      <c r="H66">
        <f t="shared" si="4"/>
        <v>134.74667985994824</v>
      </c>
      <c r="I66">
        <v>20</v>
      </c>
      <c r="J66">
        <f t="shared" si="1"/>
        <v>2694.9335971989649</v>
      </c>
      <c r="K66">
        <f t="shared" si="2"/>
        <v>2694.9335971989649</v>
      </c>
    </row>
    <row r="67" spans="1:11" x14ac:dyDescent="0.25">
      <c r="A67" s="1">
        <v>45664</v>
      </c>
      <c r="B67" s="1">
        <v>45637</v>
      </c>
      <c r="C67" t="s">
        <v>30</v>
      </c>
      <c r="E67" t="s">
        <v>21</v>
      </c>
      <c r="F67">
        <v>464208.16</v>
      </c>
      <c r="G67" t="s">
        <v>55</v>
      </c>
      <c r="H67">
        <f t="shared" si="4"/>
        <v>137.96138224996193</v>
      </c>
      <c r="I67">
        <v>20</v>
      </c>
      <c r="J67">
        <f t="shared" ref="J67:J130" si="5">H67*I67</f>
        <v>2759.2276449992387</v>
      </c>
      <c r="K67">
        <f t="shared" ref="K67:K130" si="6">MAX(J67,0)</f>
        <v>2759.2276449992387</v>
      </c>
    </row>
    <row r="68" spans="1:11" x14ac:dyDescent="0.25">
      <c r="A68" s="1">
        <v>45664</v>
      </c>
      <c r="B68" s="1">
        <v>45637</v>
      </c>
      <c r="C68" t="s">
        <v>30</v>
      </c>
      <c r="E68" t="s">
        <v>22</v>
      </c>
      <c r="F68">
        <v>14803.55</v>
      </c>
      <c r="G68" t="s">
        <v>55</v>
      </c>
      <c r="H68">
        <f t="shared" si="4"/>
        <v>1.1355000761150857</v>
      </c>
      <c r="I68">
        <v>20</v>
      </c>
      <c r="J68">
        <f t="shared" si="5"/>
        <v>22.710001522301717</v>
      </c>
      <c r="K68">
        <f t="shared" si="6"/>
        <v>22.710001522301717</v>
      </c>
    </row>
    <row r="69" spans="1:11" x14ac:dyDescent="0.25">
      <c r="A69" s="1">
        <v>45664</v>
      </c>
      <c r="B69" s="1">
        <v>45637</v>
      </c>
      <c r="C69" t="s">
        <v>30</v>
      </c>
      <c r="E69" t="s">
        <v>23</v>
      </c>
      <c r="F69">
        <v>600148.68999999994</v>
      </c>
      <c r="G69" t="s">
        <v>55</v>
      </c>
      <c r="H69">
        <f t="shared" si="4"/>
        <v>179.34988278276754</v>
      </c>
      <c r="I69">
        <v>20</v>
      </c>
      <c r="J69">
        <f t="shared" si="5"/>
        <v>3586.9976556553506</v>
      </c>
      <c r="K69">
        <f t="shared" si="6"/>
        <v>3586.9976556553506</v>
      </c>
    </row>
    <row r="70" spans="1:11" x14ac:dyDescent="0.25">
      <c r="A70" s="1">
        <v>45664</v>
      </c>
      <c r="B70" s="1">
        <v>45637</v>
      </c>
      <c r="C70" t="s">
        <v>30</v>
      </c>
      <c r="E70" t="s">
        <v>24</v>
      </c>
      <c r="F70">
        <v>34288.29</v>
      </c>
      <c r="G70" t="s">
        <v>55</v>
      </c>
      <c r="H70">
        <f t="shared" si="4"/>
        <v>7.0678307200487138</v>
      </c>
      <c r="I70">
        <v>20</v>
      </c>
      <c r="J70">
        <f t="shared" si="5"/>
        <v>141.35661440097428</v>
      </c>
      <c r="K70">
        <f t="shared" si="6"/>
        <v>141.35661440097428</v>
      </c>
    </row>
    <row r="71" spans="1:11" x14ac:dyDescent="0.25">
      <c r="A71" s="1">
        <v>45664</v>
      </c>
      <c r="B71" s="1">
        <v>45637</v>
      </c>
      <c r="C71" t="s">
        <v>30</v>
      </c>
      <c r="E71" t="s">
        <v>25</v>
      </c>
      <c r="F71">
        <v>16849.830000000002</v>
      </c>
      <c r="G71" t="s">
        <v>55</v>
      </c>
      <c r="H71">
        <f t="shared" si="4"/>
        <v>1.7585111889176439</v>
      </c>
      <c r="I71">
        <v>20</v>
      </c>
      <c r="J71">
        <f t="shared" si="5"/>
        <v>35.170223778352877</v>
      </c>
      <c r="K71">
        <f t="shared" si="6"/>
        <v>35.170223778352877</v>
      </c>
    </row>
    <row r="72" spans="1:11" x14ac:dyDescent="0.25">
      <c r="A72" s="1">
        <v>45664</v>
      </c>
      <c r="B72" s="1">
        <v>45637</v>
      </c>
      <c r="C72" t="s">
        <v>30</v>
      </c>
      <c r="E72" t="s">
        <v>26</v>
      </c>
      <c r="F72">
        <v>17070.060000000001</v>
      </c>
      <c r="G72" t="s">
        <v>55</v>
      </c>
      <c r="H72">
        <f t="shared" si="4"/>
        <v>1.8255624904856147</v>
      </c>
      <c r="I72">
        <v>20</v>
      </c>
      <c r="J72">
        <f t="shared" si="5"/>
        <v>36.511249809712297</v>
      </c>
      <c r="K72">
        <f t="shared" si="6"/>
        <v>36.511249809712297</v>
      </c>
    </row>
    <row r="73" spans="1:11" x14ac:dyDescent="0.25">
      <c r="A73" s="1">
        <v>45664</v>
      </c>
      <c r="B73" s="1">
        <v>45637</v>
      </c>
      <c r="C73" t="s">
        <v>30</v>
      </c>
      <c r="E73" t="s">
        <v>27</v>
      </c>
      <c r="F73">
        <v>311231.09000000003</v>
      </c>
      <c r="G73" t="s">
        <v>55</v>
      </c>
      <c r="H73">
        <f t="shared" si="4"/>
        <v>91.385930887501914</v>
      </c>
      <c r="I73">
        <v>20</v>
      </c>
      <c r="J73">
        <f t="shared" si="5"/>
        <v>1827.7186177500382</v>
      </c>
      <c r="K73">
        <f t="shared" si="6"/>
        <v>1827.7186177500382</v>
      </c>
    </row>
    <row r="74" spans="1:11" x14ac:dyDescent="0.25">
      <c r="A74" s="1">
        <v>45664</v>
      </c>
      <c r="B74" s="1">
        <v>45637</v>
      </c>
      <c r="C74" t="s">
        <v>30</v>
      </c>
      <c r="E74" t="s">
        <v>28</v>
      </c>
      <c r="F74">
        <v>37648.26</v>
      </c>
      <c r="G74" t="s">
        <v>55</v>
      </c>
      <c r="H74">
        <f t="shared" si="4"/>
        <v>8.0908083422134265</v>
      </c>
      <c r="I74">
        <v>20</v>
      </c>
      <c r="J74">
        <f t="shared" si="5"/>
        <v>161.81616684426854</v>
      </c>
      <c r="K74">
        <f t="shared" si="6"/>
        <v>161.81616684426854</v>
      </c>
    </row>
    <row r="75" spans="1:11" x14ac:dyDescent="0.25">
      <c r="A75" s="1">
        <v>45664</v>
      </c>
      <c r="B75" s="1">
        <v>45637</v>
      </c>
      <c r="C75" t="s">
        <v>30</v>
      </c>
      <c r="E75" t="s">
        <v>29</v>
      </c>
      <c r="F75">
        <v>15951</v>
      </c>
      <c r="G75" t="s">
        <v>55</v>
      </c>
      <c r="H75">
        <f t="shared" si="4"/>
        <v>1.4848530978840007</v>
      </c>
      <c r="I75">
        <v>20</v>
      </c>
      <c r="J75">
        <f t="shared" si="5"/>
        <v>29.697061957680013</v>
      </c>
      <c r="K75">
        <f t="shared" si="6"/>
        <v>29.697061957680013</v>
      </c>
    </row>
    <row r="76" spans="1:11" x14ac:dyDescent="0.25">
      <c r="A76" s="1">
        <v>45740</v>
      </c>
      <c r="B76" s="1">
        <v>45729</v>
      </c>
      <c r="C76" t="s">
        <v>34</v>
      </c>
      <c r="D76" t="s">
        <v>36</v>
      </c>
      <c r="E76" t="s">
        <v>39</v>
      </c>
      <c r="F76">
        <v>28816.87</v>
      </c>
      <c r="G76" t="s">
        <v>56</v>
      </c>
      <c r="H76">
        <f>(0.0002*F76)-2.8311</f>
        <v>2.9322739999999996</v>
      </c>
      <c r="I76">
        <v>21</v>
      </c>
      <c r="J76">
        <f t="shared" si="5"/>
        <v>61.577753999999992</v>
      </c>
      <c r="K76">
        <f t="shared" si="6"/>
        <v>61.577753999999992</v>
      </c>
    </row>
    <row r="77" spans="1:11" x14ac:dyDescent="0.25">
      <c r="A77" s="1">
        <v>45740</v>
      </c>
      <c r="B77" s="1">
        <v>45729</v>
      </c>
      <c r="C77" t="s">
        <v>34</v>
      </c>
      <c r="D77" t="s">
        <v>37</v>
      </c>
      <c r="E77" t="s">
        <v>39</v>
      </c>
      <c r="F77">
        <v>20286.27</v>
      </c>
      <c r="G77" t="s">
        <v>56</v>
      </c>
      <c r="H77">
        <f t="shared" ref="H77:H140" si="7">(0.0002*F77)-2.8311</f>
        <v>1.2261540000000002</v>
      </c>
      <c r="I77">
        <v>21</v>
      </c>
      <c r="J77">
        <f t="shared" si="5"/>
        <v>25.749234000000005</v>
      </c>
      <c r="K77">
        <f t="shared" si="6"/>
        <v>25.749234000000005</v>
      </c>
    </row>
    <row r="78" spans="1:11" x14ac:dyDescent="0.25">
      <c r="A78" s="1">
        <v>45740</v>
      </c>
      <c r="B78" s="1">
        <v>45729</v>
      </c>
      <c r="C78" t="s">
        <v>34</v>
      </c>
      <c r="D78" t="s">
        <v>36</v>
      </c>
      <c r="E78" t="s">
        <v>40</v>
      </c>
      <c r="F78">
        <v>42843.15</v>
      </c>
      <c r="G78" t="s">
        <v>56</v>
      </c>
      <c r="H78">
        <f t="shared" si="7"/>
        <v>5.7375300000000005</v>
      </c>
      <c r="I78">
        <v>21</v>
      </c>
      <c r="J78">
        <f t="shared" si="5"/>
        <v>120.48813000000001</v>
      </c>
      <c r="K78">
        <f t="shared" si="6"/>
        <v>120.48813000000001</v>
      </c>
    </row>
    <row r="79" spans="1:11" x14ac:dyDescent="0.25">
      <c r="A79" s="1">
        <v>45740</v>
      </c>
      <c r="B79" s="1">
        <v>45729</v>
      </c>
      <c r="C79" t="s">
        <v>34</v>
      </c>
      <c r="D79" t="s">
        <v>37</v>
      </c>
      <c r="E79" t="s">
        <v>40</v>
      </c>
      <c r="F79">
        <v>26057.94</v>
      </c>
      <c r="G79" t="s">
        <v>56</v>
      </c>
      <c r="H79">
        <f t="shared" si="7"/>
        <v>2.3804879999999997</v>
      </c>
      <c r="I79">
        <v>21</v>
      </c>
      <c r="J79">
        <f t="shared" si="5"/>
        <v>49.990247999999994</v>
      </c>
      <c r="K79">
        <f t="shared" si="6"/>
        <v>49.990247999999994</v>
      </c>
    </row>
    <row r="80" spans="1:11" x14ac:dyDescent="0.25">
      <c r="A80" s="1">
        <v>45740</v>
      </c>
      <c r="B80" s="1">
        <v>45729</v>
      </c>
      <c r="C80" t="s">
        <v>34</v>
      </c>
      <c r="D80" t="s">
        <v>36</v>
      </c>
      <c r="E80" t="s">
        <v>41</v>
      </c>
      <c r="F80">
        <v>34444.730000000003</v>
      </c>
      <c r="G80" t="s">
        <v>56</v>
      </c>
      <c r="H80">
        <f t="shared" si="7"/>
        <v>4.0578460000000005</v>
      </c>
      <c r="I80">
        <v>21</v>
      </c>
      <c r="J80">
        <f t="shared" si="5"/>
        <v>85.214766000000012</v>
      </c>
      <c r="K80">
        <f t="shared" si="6"/>
        <v>85.214766000000012</v>
      </c>
    </row>
    <row r="81" spans="1:11" x14ac:dyDescent="0.25">
      <c r="A81" s="1">
        <v>45740</v>
      </c>
      <c r="B81" s="1">
        <v>45729</v>
      </c>
      <c r="C81" t="s">
        <v>34</v>
      </c>
      <c r="D81" t="s">
        <v>37</v>
      </c>
      <c r="E81" t="s">
        <v>41</v>
      </c>
      <c r="F81">
        <v>54046.49</v>
      </c>
      <c r="G81" t="s">
        <v>56</v>
      </c>
      <c r="H81">
        <f t="shared" si="7"/>
        <v>7.9781979999999999</v>
      </c>
      <c r="I81">
        <v>21</v>
      </c>
      <c r="J81">
        <f t="shared" si="5"/>
        <v>167.542158</v>
      </c>
      <c r="K81">
        <f t="shared" si="6"/>
        <v>167.542158</v>
      </c>
    </row>
    <row r="82" spans="1:11" x14ac:dyDescent="0.25">
      <c r="A82" s="1">
        <v>45740</v>
      </c>
      <c r="B82" s="1">
        <v>45729</v>
      </c>
      <c r="C82" t="s">
        <v>34</v>
      </c>
      <c r="D82" t="s">
        <v>36</v>
      </c>
      <c r="E82" t="s">
        <v>42</v>
      </c>
      <c r="F82">
        <v>30542.75</v>
      </c>
      <c r="G82" t="s">
        <v>56</v>
      </c>
      <c r="H82">
        <f t="shared" si="7"/>
        <v>3.27745</v>
      </c>
      <c r="I82">
        <v>21</v>
      </c>
      <c r="J82">
        <f t="shared" si="5"/>
        <v>68.826449999999994</v>
      </c>
      <c r="K82">
        <f t="shared" si="6"/>
        <v>68.826449999999994</v>
      </c>
    </row>
    <row r="83" spans="1:11" x14ac:dyDescent="0.25">
      <c r="A83" s="1">
        <v>45740</v>
      </c>
      <c r="B83" s="1">
        <v>45729</v>
      </c>
      <c r="C83" t="s">
        <v>34</v>
      </c>
      <c r="D83" t="s">
        <v>37</v>
      </c>
      <c r="E83" t="s">
        <v>42</v>
      </c>
      <c r="F83">
        <v>24165.54</v>
      </c>
      <c r="G83" t="s">
        <v>56</v>
      </c>
      <c r="H83">
        <f t="shared" si="7"/>
        <v>2.002008</v>
      </c>
      <c r="I83">
        <v>21</v>
      </c>
      <c r="J83">
        <f t="shared" si="5"/>
        <v>42.042168000000004</v>
      </c>
      <c r="K83">
        <f t="shared" si="6"/>
        <v>42.042168000000004</v>
      </c>
    </row>
    <row r="84" spans="1:11" x14ac:dyDescent="0.25">
      <c r="A84" s="1">
        <v>45740</v>
      </c>
      <c r="B84" s="1">
        <v>45729</v>
      </c>
      <c r="C84" t="s">
        <v>34</v>
      </c>
      <c r="D84" t="s">
        <v>36</v>
      </c>
      <c r="E84" t="s">
        <v>43</v>
      </c>
      <c r="F84">
        <v>31510.83</v>
      </c>
      <c r="G84" t="s">
        <v>56</v>
      </c>
      <c r="H84">
        <f t="shared" si="7"/>
        <v>3.4710660000000004</v>
      </c>
      <c r="I84">
        <v>21</v>
      </c>
      <c r="J84">
        <f t="shared" si="5"/>
        <v>72.892386000000016</v>
      </c>
      <c r="K84">
        <f t="shared" si="6"/>
        <v>72.892386000000016</v>
      </c>
    </row>
    <row r="85" spans="1:11" x14ac:dyDescent="0.25">
      <c r="A85" s="1">
        <v>45740</v>
      </c>
      <c r="B85" s="1">
        <v>45729</v>
      </c>
      <c r="C85" t="s">
        <v>34</v>
      </c>
      <c r="D85" t="s">
        <v>37</v>
      </c>
      <c r="E85" t="s">
        <v>43</v>
      </c>
      <c r="F85">
        <v>26147.78</v>
      </c>
      <c r="G85" t="s">
        <v>56</v>
      </c>
      <c r="H85">
        <f t="shared" si="7"/>
        <v>2.3984559999999995</v>
      </c>
      <c r="I85">
        <v>21</v>
      </c>
      <c r="J85">
        <f t="shared" si="5"/>
        <v>50.367575999999985</v>
      </c>
      <c r="K85">
        <f t="shared" si="6"/>
        <v>50.367575999999985</v>
      </c>
    </row>
    <row r="86" spans="1:11" x14ac:dyDescent="0.25">
      <c r="A86" s="1">
        <v>45740</v>
      </c>
      <c r="B86" s="1">
        <v>45729</v>
      </c>
      <c r="C86" t="s">
        <v>34</v>
      </c>
      <c r="D86" t="s">
        <v>36</v>
      </c>
      <c r="E86" t="s">
        <v>44</v>
      </c>
      <c r="F86">
        <v>17586.03</v>
      </c>
      <c r="G86" t="s">
        <v>56</v>
      </c>
      <c r="H86">
        <f t="shared" si="7"/>
        <v>0.68610599999999966</v>
      </c>
      <c r="I86">
        <v>21</v>
      </c>
      <c r="J86">
        <f t="shared" si="5"/>
        <v>14.408225999999992</v>
      </c>
      <c r="K86">
        <f t="shared" si="6"/>
        <v>14.408225999999992</v>
      </c>
    </row>
    <row r="87" spans="1:11" x14ac:dyDescent="0.25">
      <c r="A87" s="1">
        <v>45740</v>
      </c>
      <c r="B87" s="1">
        <v>45729</v>
      </c>
      <c r="C87" t="s">
        <v>34</v>
      </c>
      <c r="D87" t="s">
        <v>37</v>
      </c>
      <c r="E87" t="s">
        <v>44</v>
      </c>
      <c r="F87">
        <v>12782.68</v>
      </c>
      <c r="G87" t="s">
        <v>56</v>
      </c>
      <c r="H87">
        <f t="shared" si="7"/>
        <v>-0.27456399999999981</v>
      </c>
      <c r="I87">
        <v>21</v>
      </c>
      <c r="J87">
        <f t="shared" si="5"/>
        <v>-5.765843999999996</v>
      </c>
      <c r="K87">
        <f t="shared" si="6"/>
        <v>0</v>
      </c>
    </row>
    <row r="88" spans="1:11" x14ac:dyDescent="0.25">
      <c r="A88" s="1">
        <v>45740</v>
      </c>
      <c r="B88" s="1">
        <v>45730</v>
      </c>
      <c r="C88" t="s">
        <v>45</v>
      </c>
      <c r="D88" t="s">
        <v>36</v>
      </c>
      <c r="E88" t="s">
        <v>39</v>
      </c>
      <c r="F88">
        <v>18303.939999999999</v>
      </c>
      <c r="G88" t="s">
        <v>56</v>
      </c>
      <c r="H88">
        <f t="shared" si="7"/>
        <v>0.82968799999999954</v>
      </c>
      <c r="I88">
        <v>21</v>
      </c>
      <c r="J88">
        <f t="shared" si="5"/>
        <v>17.42344799999999</v>
      </c>
      <c r="K88">
        <f t="shared" si="6"/>
        <v>17.42344799999999</v>
      </c>
    </row>
    <row r="89" spans="1:11" x14ac:dyDescent="0.25">
      <c r="A89" s="1">
        <v>45740</v>
      </c>
      <c r="B89" s="1">
        <v>45730</v>
      </c>
      <c r="C89" t="s">
        <v>45</v>
      </c>
      <c r="D89" t="s">
        <v>37</v>
      </c>
      <c r="E89" t="s">
        <v>39</v>
      </c>
      <c r="F89">
        <v>16358.64</v>
      </c>
      <c r="G89" t="s">
        <v>56</v>
      </c>
      <c r="H89">
        <f t="shared" si="7"/>
        <v>0.4406279999999998</v>
      </c>
      <c r="I89">
        <v>21</v>
      </c>
      <c r="J89">
        <f t="shared" si="5"/>
        <v>9.2531879999999962</v>
      </c>
      <c r="K89">
        <f t="shared" si="6"/>
        <v>9.2531879999999962</v>
      </c>
    </row>
    <row r="90" spans="1:11" x14ac:dyDescent="0.25">
      <c r="A90" s="1">
        <v>45740</v>
      </c>
      <c r="B90" s="1">
        <v>45730</v>
      </c>
      <c r="C90" t="s">
        <v>45</v>
      </c>
      <c r="D90" t="s">
        <v>35</v>
      </c>
      <c r="E90" t="s">
        <v>39</v>
      </c>
      <c r="G90" t="s">
        <v>56</v>
      </c>
      <c r="H90">
        <f t="shared" si="7"/>
        <v>-2.8311000000000002</v>
      </c>
      <c r="I90">
        <v>41</v>
      </c>
      <c r="J90">
        <f t="shared" si="5"/>
        <v>-116.07510000000001</v>
      </c>
      <c r="K90">
        <f t="shared" si="6"/>
        <v>0</v>
      </c>
    </row>
    <row r="91" spans="1:11" x14ac:dyDescent="0.25">
      <c r="A91" s="1">
        <v>45740</v>
      </c>
      <c r="B91" s="1">
        <v>45730</v>
      </c>
      <c r="C91" t="s">
        <v>45</v>
      </c>
      <c r="D91" t="s">
        <v>38</v>
      </c>
      <c r="E91" t="s">
        <v>39</v>
      </c>
      <c r="G91" t="s">
        <v>56</v>
      </c>
      <c r="H91">
        <f t="shared" si="7"/>
        <v>-2.8311000000000002</v>
      </c>
      <c r="I91">
        <v>41</v>
      </c>
      <c r="J91">
        <f t="shared" si="5"/>
        <v>-116.07510000000001</v>
      </c>
      <c r="K91">
        <f t="shared" si="6"/>
        <v>0</v>
      </c>
    </row>
    <row r="92" spans="1:11" x14ac:dyDescent="0.25">
      <c r="A92" s="1">
        <v>45740</v>
      </c>
      <c r="B92" s="1">
        <v>45730</v>
      </c>
      <c r="C92" t="s">
        <v>45</v>
      </c>
      <c r="D92" t="s">
        <v>36</v>
      </c>
      <c r="E92" t="s">
        <v>40</v>
      </c>
      <c r="F92">
        <v>30991.64</v>
      </c>
      <c r="G92" t="s">
        <v>56</v>
      </c>
      <c r="H92">
        <f t="shared" si="7"/>
        <v>3.3672279999999999</v>
      </c>
      <c r="I92">
        <v>21</v>
      </c>
      <c r="J92">
        <f t="shared" si="5"/>
        <v>70.711787999999999</v>
      </c>
      <c r="K92">
        <f t="shared" si="6"/>
        <v>70.711787999999999</v>
      </c>
    </row>
    <row r="93" spans="1:11" x14ac:dyDescent="0.25">
      <c r="A93" s="1">
        <v>45740</v>
      </c>
      <c r="B93" s="1">
        <v>45730</v>
      </c>
      <c r="C93" t="s">
        <v>45</v>
      </c>
      <c r="D93" t="s">
        <v>37</v>
      </c>
      <c r="E93" t="s">
        <v>40</v>
      </c>
      <c r="F93">
        <v>14436.83</v>
      </c>
      <c r="G93" t="s">
        <v>56</v>
      </c>
      <c r="H93">
        <f t="shared" si="7"/>
        <v>5.6265999999999927E-2</v>
      </c>
      <c r="I93">
        <v>21</v>
      </c>
      <c r="J93">
        <f t="shared" si="5"/>
        <v>1.1815859999999985</v>
      </c>
      <c r="K93">
        <f t="shared" si="6"/>
        <v>1.1815859999999985</v>
      </c>
    </row>
    <row r="94" spans="1:11" x14ac:dyDescent="0.25">
      <c r="A94" s="1">
        <v>45740</v>
      </c>
      <c r="B94" s="1">
        <v>45730</v>
      </c>
      <c r="C94" t="s">
        <v>45</v>
      </c>
      <c r="D94" t="s">
        <v>35</v>
      </c>
      <c r="E94" t="s">
        <v>40</v>
      </c>
      <c r="F94">
        <v>17066.63</v>
      </c>
      <c r="G94" t="s">
        <v>56</v>
      </c>
      <c r="H94">
        <f t="shared" si="7"/>
        <v>0.58222600000000035</v>
      </c>
      <c r="I94">
        <v>41</v>
      </c>
      <c r="J94">
        <f t="shared" si="5"/>
        <v>23.871266000000013</v>
      </c>
      <c r="K94">
        <f t="shared" si="6"/>
        <v>23.871266000000013</v>
      </c>
    </row>
    <row r="95" spans="1:11" x14ac:dyDescent="0.25">
      <c r="A95" s="1">
        <v>45740</v>
      </c>
      <c r="B95" s="1">
        <v>45730</v>
      </c>
      <c r="C95" t="s">
        <v>45</v>
      </c>
      <c r="D95" t="s">
        <v>38</v>
      </c>
      <c r="E95" t="s">
        <v>40</v>
      </c>
      <c r="F95">
        <v>20040.849999999999</v>
      </c>
      <c r="G95" t="s">
        <v>56</v>
      </c>
      <c r="H95">
        <f t="shared" si="7"/>
        <v>1.1770699999999996</v>
      </c>
      <c r="I95">
        <v>41</v>
      </c>
      <c r="J95">
        <f t="shared" si="5"/>
        <v>48.259869999999985</v>
      </c>
      <c r="K95">
        <f t="shared" si="6"/>
        <v>48.259869999999985</v>
      </c>
    </row>
    <row r="96" spans="1:11" x14ac:dyDescent="0.25">
      <c r="A96" s="1">
        <v>45740</v>
      </c>
      <c r="B96" s="1">
        <v>45730</v>
      </c>
      <c r="C96" t="s">
        <v>45</v>
      </c>
      <c r="D96" t="s">
        <v>36</v>
      </c>
      <c r="E96" t="s">
        <v>41</v>
      </c>
      <c r="F96">
        <v>15780.54</v>
      </c>
      <c r="G96" t="s">
        <v>56</v>
      </c>
      <c r="H96">
        <f t="shared" si="7"/>
        <v>0.32500799999999996</v>
      </c>
      <c r="I96">
        <v>21</v>
      </c>
      <c r="J96">
        <f t="shared" si="5"/>
        <v>6.8251679999999997</v>
      </c>
      <c r="K96">
        <f t="shared" si="6"/>
        <v>6.8251679999999997</v>
      </c>
    </row>
    <row r="97" spans="1:11" x14ac:dyDescent="0.25">
      <c r="A97" s="1">
        <v>45740</v>
      </c>
      <c r="B97" s="1">
        <v>45730</v>
      </c>
      <c r="C97" t="s">
        <v>45</v>
      </c>
      <c r="D97" t="s">
        <v>37</v>
      </c>
      <c r="E97" t="s">
        <v>41</v>
      </c>
      <c r="F97">
        <v>27536.68</v>
      </c>
      <c r="G97" t="s">
        <v>56</v>
      </c>
      <c r="H97">
        <f t="shared" si="7"/>
        <v>2.6762360000000003</v>
      </c>
      <c r="I97">
        <v>21</v>
      </c>
      <c r="J97">
        <f t="shared" si="5"/>
        <v>56.200956000000005</v>
      </c>
      <c r="K97">
        <f t="shared" si="6"/>
        <v>56.200956000000005</v>
      </c>
    </row>
    <row r="98" spans="1:11" x14ac:dyDescent="0.25">
      <c r="A98" s="1">
        <v>45740</v>
      </c>
      <c r="B98" s="1">
        <v>45730</v>
      </c>
      <c r="C98" t="s">
        <v>45</v>
      </c>
      <c r="D98" t="s">
        <v>35</v>
      </c>
      <c r="E98" t="s">
        <v>41</v>
      </c>
      <c r="F98">
        <v>12450.7</v>
      </c>
      <c r="G98" t="s">
        <v>56</v>
      </c>
      <c r="H98">
        <f t="shared" si="7"/>
        <v>-0.34095999999999993</v>
      </c>
      <c r="I98">
        <v>41</v>
      </c>
      <c r="J98">
        <f t="shared" si="5"/>
        <v>-13.979359999999996</v>
      </c>
      <c r="K98">
        <f t="shared" si="6"/>
        <v>0</v>
      </c>
    </row>
    <row r="99" spans="1:11" x14ac:dyDescent="0.25">
      <c r="A99" s="1">
        <v>45740</v>
      </c>
      <c r="B99" s="1">
        <v>45730</v>
      </c>
      <c r="C99" t="s">
        <v>45</v>
      </c>
      <c r="D99" t="s">
        <v>38</v>
      </c>
      <c r="E99" t="s">
        <v>41</v>
      </c>
      <c r="F99">
        <v>10679.28</v>
      </c>
      <c r="G99" t="s">
        <v>56</v>
      </c>
      <c r="H99">
        <f t="shared" si="7"/>
        <v>-0.69524399999999975</v>
      </c>
      <c r="I99">
        <v>41</v>
      </c>
      <c r="J99">
        <f t="shared" si="5"/>
        <v>-28.505003999999989</v>
      </c>
      <c r="K99">
        <f t="shared" si="6"/>
        <v>0</v>
      </c>
    </row>
    <row r="100" spans="1:11" x14ac:dyDescent="0.25">
      <c r="A100" s="1">
        <v>45740</v>
      </c>
      <c r="B100" s="1">
        <v>45730</v>
      </c>
      <c r="C100" t="s">
        <v>45</v>
      </c>
      <c r="D100" t="s">
        <v>36</v>
      </c>
      <c r="E100" t="s">
        <v>42</v>
      </c>
      <c r="F100">
        <v>17036.080000000002</v>
      </c>
      <c r="G100" t="s">
        <v>56</v>
      </c>
      <c r="H100">
        <f t="shared" si="7"/>
        <v>0.57611600000000029</v>
      </c>
      <c r="I100">
        <v>21</v>
      </c>
      <c r="J100">
        <f t="shared" si="5"/>
        <v>12.098436000000007</v>
      </c>
      <c r="K100">
        <f t="shared" si="6"/>
        <v>12.098436000000007</v>
      </c>
    </row>
    <row r="101" spans="1:11" x14ac:dyDescent="0.25">
      <c r="A101" s="1">
        <v>45740</v>
      </c>
      <c r="B101" s="1">
        <v>45730</v>
      </c>
      <c r="C101" t="s">
        <v>45</v>
      </c>
      <c r="D101" t="s">
        <v>37</v>
      </c>
      <c r="E101" t="s">
        <v>42</v>
      </c>
      <c r="F101">
        <v>11733.49</v>
      </c>
      <c r="G101" t="s">
        <v>56</v>
      </c>
      <c r="H101">
        <f t="shared" si="7"/>
        <v>-0.48440200000000022</v>
      </c>
      <c r="I101">
        <v>21</v>
      </c>
      <c r="J101">
        <f t="shared" si="5"/>
        <v>-10.172442000000004</v>
      </c>
      <c r="K101">
        <f t="shared" si="6"/>
        <v>0</v>
      </c>
    </row>
    <row r="102" spans="1:11" x14ac:dyDescent="0.25">
      <c r="A102" s="1">
        <v>45740</v>
      </c>
      <c r="B102" s="1">
        <v>45730</v>
      </c>
      <c r="C102" t="s">
        <v>45</v>
      </c>
      <c r="D102" t="s">
        <v>35</v>
      </c>
      <c r="E102" t="s">
        <v>42</v>
      </c>
      <c r="F102">
        <v>13413.27</v>
      </c>
      <c r="G102" t="s">
        <v>56</v>
      </c>
      <c r="H102">
        <f t="shared" si="7"/>
        <v>-0.14844599999999986</v>
      </c>
      <c r="I102">
        <v>41</v>
      </c>
      <c r="J102">
        <f t="shared" si="5"/>
        <v>-6.0862859999999941</v>
      </c>
      <c r="K102">
        <f t="shared" si="6"/>
        <v>0</v>
      </c>
    </row>
    <row r="103" spans="1:11" x14ac:dyDescent="0.25">
      <c r="A103" s="1">
        <v>45740</v>
      </c>
      <c r="B103" s="1">
        <v>45730</v>
      </c>
      <c r="C103" t="s">
        <v>45</v>
      </c>
      <c r="D103" t="s">
        <v>38</v>
      </c>
      <c r="E103" t="s">
        <v>42</v>
      </c>
      <c r="F103">
        <v>12018.78</v>
      </c>
      <c r="G103" t="s">
        <v>56</v>
      </c>
      <c r="H103">
        <f t="shared" si="7"/>
        <v>-0.42734399999999972</v>
      </c>
      <c r="I103">
        <v>41</v>
      </c>
      <c r="J103">
        <f t="shared" si="5"/>
        <v>-17.521103999999987</v>
      </c>
      <c r="K103">
        <f t="shared" si="6"/>
        <v>0</v>
      </c>
    </row>
    <row r="104" spans="1:11" x14ac:dyDescent="0.25">
      <c r="A104" s="1">
        <v>45740</v>
      </c>
      <c r="B104" s="1">
        <v>45730</v>
      </c>
      <c r="C104" t="s">
        <v>45</v>
      </c>
      <c r="D104" t="s">
        <v>36</v>
      </c>
      <c r="E104" t="s">
        <v>43</v>
      </c>
      <c r="F104">
        <v>14456.4</v>
      </c>
      <c r="G104" t="s">
        <v>56</v>
      </c>
      <c r="H104">
        <f t="shared" si="7"/>
        <v>6.01799999999999E-2</v>
      </c>
      <c r="I104">
        <v>21</v>
      </c>
      <c r="J104">
        <f t="shared" si="5"/>
        <v>1.2637799999999979</v>
      </c>
      <c r="K104">
        <f t="shared" si="6"/>
        <v>1.2637799999999979</v>
      </c>
    </row>
    <row r="105" spans="1:11" x14ac:dyDescent="0.25">
      <c r="A105" s="1">
        <v>45740</v>
      </c>
      <c r="B105" s="1">
        <v>45730</v>
      </c>
      <c r="C105" t="s">
        <v>45</v>
      </c>
      <c r="D105" t="s">
        <v>37</v>
      </c>
      <c r="E105" t="s">
        <v>43</v>
      </c>
      <c r="F105">
        <v>15223.43</v>
      </c>
      <c r="G105" t="s">
        <v>56</v>
      </c>
      <c r="H105">
        <f t="shared" si="7"/>
        <v>0.21358599999999983</v>
      </c>
      <c r="I105">
        <v>21</v>
      </c>
      <c r="J105">
        <f t="shared" si="5"/>
        <v>4.485305999999996</v>
      </c>
      <c r="K105">
        <f t="shared" si="6"/>
        <v>4.485305999999996</v>
      </c>
    </row>
    <row r="106" spans="1:11" x14ac:dyDescent="0.25">
      <c r="A106" s="1">
        <v>45740</v>
      </c>
      <c r="B106" s="1">
        <v>45730</v>
      </c>
      <c r="C106" t="s">
        <v>45</v>
      </c>
      <c r="D106" t="s">
        <v>35</v>
      </c>
      <c r="E106" t="s">
        <v>43</v>
      </c>
      <c r="F106">
        <v>20122.28</v>
      </c>
      <c r="G106" t="s">
        <v>56</v>
      </c>
      <c r="H106">
        <f t="shared" si="7"/>
        <v>1.1933559999999996</v>
      </c>
      <c r="I106">
        <v>41</v>
      </c>
      <c r="J106">
        <f t="shared" si="5"/>
        <v>48.927595999999987</v>
      </c>
      <c r="K106">
        <f t="shared" si="6"/>
        <v>48.927595999999987</v>
      </c>
    </row>
    <row r="107" spans="1:11" x14ac:dyDescent="0.25">
      <c r="A107" s="1">
        <v>45740</v>
      </c>
      <c r="B107" s="1">
        <v>45730</v>
      </c>
      <c r="C107" t="s">
        <v>45</v>
      </c>
      <c r="D107" t="s">
        <v>38</v>
      </c>
      <c r="E107" t="s">
        <v>43</v>
      </c>
      <c r="F107">
        <v>10124.19</v>
      </c>
      <c r="G107" t="s">
        <v>56</v>
      </c>
      <c r="H107">
        <f t="shared" si="7"/>
        <v>-0.80626199999999981</v>
      </c>
      <c r="I107">
        <v>41</v>
      </c>
      <c r="J107">
        <f t="shared" si="5"/>
        <v>-33.056741999999993</v>
      </c>
      <c r="K107">
        <f t="shared" si="6"/>
        <v>0</v>
      </c>
    </row>
    <row r="108" spans="1:11" x14ac:dyDescent="0.25">
      <c r="A108" s="1">
        <v>45740</v>
      </c>
      <c r="B108" s="1">
        <v>45730</v>
      </c>
      <c r="C108" t="s">
        <v>45</v>
      </c>
      <c r="D108" t="s">
        <v>36</v>
      </c>
      <c r="E108" t="s">
        <v>44</v>
      </c>
      <c r="F108">
        <v>14843.14</v>
      </c>
      <c r="G108" t="s">
        <v>56</v>
      </c>
      <c r="H108">
        <f t="shared" si="7"/>
        <v>0.13752799999999965</v>
      </c>
      <c r="I108">
        <v>21</v>
      </c>
      <c r="J108">
        <f t="shared" si="5"/>
        <v>2.8880879999999927</v>
      </c>
      <c r="K108">
        <f t="shared" si="6"/>
        <v>2.8880879999999927</v>
      </c>
    </row>
    <row r="109" spans="1:11" x14ac:dyDescent="0.25">
      <c r="A109" s="1">
        <v>45740</v>
      </c>
      <c r="B109" s="1">
        <v>45730</v>
      </c>
      <c r="C109" t="s">
        <v>45</v>
      </c>
      <c r="D109" t="s">
        <v>37</v>
      </c>
      <c r="E109" t="s">
        <v>44</v>
      </c>
      <c r="F109">
        <v>13523.56</v>
      </c>
      <c r="G109" t="s">
        <v>56</v>
      </c>
      <c r="H109">
        <f t="shared" si="7"/>
        <v>-0.12638799999999994</v>
      </c>
      <c r="I109">
        <v>21</v>
      </c>
      <c r="J109">
        <f t="shared" si="5"/>
        <v>-2.6541479999999988</v>
      </c>
      <c r="K109">
        <f t="shared" si="6"/>
        <v>0</v>
      </c>
    </row>
    <row r="110" spans="1:11" x14ac:dyDescent="0.25">
      <c r="A110" s="1">
        <v>45740</v>
      </c>
      <c r="B110" s="1">
        <v>45730</v>
      </c>
      <c r="C110" t="s">
        <v>45</v>
      </c>
      <c r="D110" t="s">
        <v>35</v>
      </c>
      <c r="E110" t="s">
        <v>44</v>
      </c>
      <c r="F110">
        <v>16780.02</v>
      </c>
      <c r="G110" t="s">
        <v>56</v>
      </c>
      <c r="H110">
        <f t="shared" si="7"/>
        <v>0.52490400000000026</v>
      </c>
      <c r="I110">
        <v>41</v>
      </c>
      <c r="J110">
        <f t="shared" si="5"/>
        <v>21.52106400000001</v>
      </c>
      <c r="K110">
        <f t="shared" si="6"/>
        <v>21.52106400000001</v>
      </c>
    </row>
    <row r="111" spans="1:11" x14ac:dyDescent="0.25">
      <c r="A111" s="1">
        <v>45740</v>
      </c>
      <c r="B111" s="1">
        <v>45730</v>
      </c>
      <c r="C111" t="s">
        <v>45</v>
      </c>
      <c r="D111" t="s">
        <v>38</v>
      </c>
      <c r="E111" t="s">
        <v>44</v>
      </c>
      <c r="F111">
        <v>13013.85</v>
      </c>
      <c r="G111" t="s">
        <v>56</v>
      </c>
      <c r="H111">
        <f t="shared" si="7"/>
        <v>-0.22833000000000014</v>
      </c>
      <c r="I111">
        <v>41</v>
      </c>
      <c r="J111">
        <f t="shared" si="5"/>
        <v>-9.3615300000000055</v>
      </c>
      <c r="K111">
        <f t="shared" si="6"/>
        <v>0</v>
      </c>
    </row>
    <row r="112" spans="1:11" x14ac:dyDescent="0.25">
      <c r="A112" s="1">
        <v>45740</v>
      </c>
      <c r="B112" s="1">
        <v>45731</v>
      </c>
      <c r="C112" t="s">
        <v>12</v>
      </c>
      <c r="D112" t="s">
        <v>36</v>
      </c>
      <c r="E112" t="s">
        <v>39</v>
      </c>
      <c r="F112">
        <v>28500.19</v>
      </c>
      <c r="G112" t="s">
        <v>56</v>
      </c>
      <c r="H112">
        <f t="shared" si="7"/>
        <v>2.868938</v>
      </c>
      <c r="I112">
        <v>21</v>
      </c>
      <c r="J112">
        <f t="shared" si="5"/>
        <v>60.247698</v>
      </c>
      <c r="K112">
        <f t="shared" si="6"/>
        <v>60.247698</v>
      </c>
    </row>
    <row r="113" spans="1:11" x14ac:dyDescent="0.25">
      <c r="A113" s="1">
        <v>45740</v>
      </c>
      <c r="B113" s="1">
        <v>45731</v>
      </c>
      <c r="C113" t="s">
        <v>12</v>
      </c>
      <c r="D113" t="s">
        <v>37</v>
      </c>
      <c r="E113" t="s">
        <v>39</v>
      </c>
      <c r="F113">
        <v>13030.05</v>
      </c>
      <c r="G113" t="s">
        <v>56</v>
      </c>
      <c r="H113">
        <f t="shared" si="7"/>
        <v>-0.22509000000000023</v>
      </c>
      <c r="I113">
        <v>21</v>
      </c>
      <c r="J113">
        <f t="shared" si="5"/>
        <v>-4.7268900000000045</v>
      </c>
      <c r="K113">
        <f t="shared" si="6"/>
        <v>0</v>
      </c>
    </row>
    <row r="114" spans="1:11" x14ac:dyDescent="0.25">
      <c r="A114" s="1">
        <v>45740</v>
      </c>
      <c r="B114" s="1">
        <v>45731</v>
      </c>
      <c r="C114" t="s">
        <v>12</v>
      </c>
      <c r="D114" t="s">
        <v>35</v>
      </c>
      <c r="E114" t="s">
        <v>39</v>
      </c>
      <c r="F114">
        <v>23597.8</v>
      </c>
      <c r="G114" t="s">
        <v>56</v>
      </c>
      <c r="H114">
        <f t="shared" si="7"/>
        <v>1.8884600000000002</v>
      </c>
      <c r="I114">
        <v>41</v>
      </c>
      <c r="J114">
        <f t="shared" si="5"/>
        <v>77.426860000000005</v>
      </c>
      <c r="K114">
        <f t="shared" si="6"/>
        <v>77.426860000000005</v>
      </c>
    </row>
    <row r="115" spans="1:11" x14ac:dyDescent="0.25">
      <c r="A115" s="1">
        <v>45740</v>
      </c>
      <c r="B115" s="1">
        <v>45731</v>
      </c>
      <c r="C115" t="s">
        <v>12</v>
      </c>
      <c r="D115" t="s">
        <v>38</v>
      </c>
      <c r="E115" t="s">
        <v>39</v>
      </c>
      <c r="F115">
        <v>23109.96</v>
      </c>
      <c r="G115" t="s">
        <v>56</v>
      </c>
      <c r="H115">
        <f t="shared" si="7"/>
        <v>1.7908919999999995</v>
      </c>
      <c r="I115">
        <v>41</v>
      </c>
      <c r="J115">
        <f t="shared" si="5"/>
        <v>73.426571999999979</v>
      </c>
      <c r="K115">
        <f t="shared" si="6"/>
        <v>73.426571999999979</v>
      </c>
    </row>
    <row r="116" spans="1:11" x14ac:dyDescent="0.25">
      <c r="A116" s="1">
        <v>45740</v>
      </c>
      <c r="B116" s="1">
        <v>45731</v>
      </c>
      <c r="C116" t="s">
        <v>12</v>
      </c>
      <c r="D116" t="s">
        <v>36</v>
      </c>
      <c r="E116" t="s">
        <v>40</v>
      </c>
      <c r="F116">
        <v>22237.41</v>
      </c>
      <c r="G116" t="s">
        <v>56</v>
      </c>
      <c r="H116">
        <f t="shared" si="7"/>
        <v>1.6163819999999998</v>
      </c>
      <c r="I116">
        <v>21</v>
      </c>
      <c r="J116">
        <f t="shared" si="5"/>
        <v>33.944021999999997</v>
      </c>
      <c r="K116">
        <f t="shared" si="6"/>
        <v>33.944021999999997</v>
      </c>
    </row>
    <row r="117" spans="1:11" x14ac:dyDescent="0.25">
      <c r="A117" s="1">
        <v>45740</v>
      </c>
      <c r="B117" s="1">
        <v>45731</v>
      </c>
      <c r="C117" t="s">
        <v>12</v>
      </c>
      <c r="D117" t="s">
        <v>37</v>
      </c>
      <c r="E117" t="s">
        <v>40</v>
      </c>
      <c r="F117">
        <v>14005.75</v>
      </c>
      <c r="G117" t="s">
        <v>56</v>
      </c>
      <c r="H117">
        <f t="shared" si="7"/>
        <v>-2.9949999999999921E-2</v>
      </c>
      <c r="I117">
        <v>21</v>
      </c>
      <c r="J117">
        <f t="shared" si="5"/>
        <v>-0.62894999999999834</v>
      </c>
      <c r="K117">
        <f t="shared" si="6"/>
        <v>0</v>
      </c>
    </row>
    <row r="118" spans="1:11" x14ac:dyDescent="0.25">
      <c r="A118" s="1">
        <v>45740</v>
      </c>
      <c r="B118" s="1">
        <v>45731</v>
      </c>
      <c r="C118" t="s">
        <v>12</v>
      </c>
      <c r="D118" t="s">
        <v>35</v>
      </c>
      <c r="E118" t="s">
        <v>40</v>
      </c>
      <c r="F118">
        <v>14793.31</v>
      </c>
      <c r="G118" t="s">
        <v>56</v>
      </c>
      <c r="H118">
        <f t="shared" si="7"/>
        <v>0.12756199999999973</v>
      </c>
      <c r="I118">
        <v>41</v>
      </c>
      <c r="J118">
        <f t="shared" si="5"/>
        <v>5.2300419999999885</v>
      </c>
      <c r="K118">
        <f t="shared" si="6"/>
        <v>5.2300419999999885</v>
      </c>
    </row>
    <row r="119" spans="1:11" x14ac:dyDescent="0.25">
      <c r="A119" s="1">
        <v>45740</v>
      </c>
      <c r="B119" s="1">
        <v>45731</v>
      </c>
      <c r="C119" t="s">
        <v>12</v>
      </c>
      <c r="D119" t="s">
        <v>38</v>
      </c>
      <c r="E119" t="s">
        <v>40</v>
      </c>
      <c r="F119">
        <v>28666</v>
      </c>
      <c r="G119" t="s">
        <v>56</v>
      </c>
      <c r="H119">
        <f t="shared" si="7"/>
        <v>2.9020999999999999</v>
      </c>
      <c r="I119">
        <v>41</v>
      </c>
      <c r="J119">
        <f t="shared" si="5"/>
        <v>118.98609999999999</v>
      </c>
      <c r="K119">
        <f t="shared" si="6"/>
        <v>118.98609999999999</v>
      </c>
    </row>
    <row r="120" spans="1:11" x14ac:dyDescent="0.25">
      <c r="A120" s="1">
        <v>45740</v>
      </c>
      <c r="B120" s="1">
        <v>45731</v>
      </c>
      <c r="C120" t="s">
        <v>12</v>
      </c>
      <c r="D120" t="s">
        <v>36</v>
      </c>
      <c r="E120" t="s">
        <v>41</v>
      </c>
      <c r="F120">
        <v>219053.02</v>
      </c>
      <c r="G120" t="s">
        <v>56</v>
      </c>
      <c r="H120">
        <f t="shared" si="7"/>
        <v>40.979503999999999</v>
      </c>
      <c r="I120">
        <v>21</v>
      </c>
      <c r="J120">
        <f t="shared" si="5"/>
        <v>860.56958399999996</v>
      </c>
      <c r="K120">
        <f t="shared" si="6"/>
        <v>860.56958399999996</v>
      </c>
    </row>
    <row r="121" spans="1:11" x14ac:dyDescent="0.25">
      <c r="A121" s="1">
        <v>45740</v>
      </c>
      <c r="B121" s="1">
        <v>45731</v>
      </c>
      <c r="C121" t="s">
        <v>12</v>
      </c>
      <c r="D121" t="s">
        <v>37</v>
      </c>
      <c r="E121" t="s">
        <v>41</v>
      </c>
      <c r="F121">
        <v>30610.639999999999</v>
      </c>
      <c r="G121" t="s">
        <v>56</v>
      </c>
      <c r="H121">
        <f t="shared" si="7"/>
        <v>3.2910279999999998</v>
      </c>
      <c r="I121">
        <v>21</v>
      </c>
      <c r="J121">
        <f t="shared" si="5"/>
        <v>69.111587999999998</v>
      </c>
      <c r="K121">
        <f t="shared" si="6"/>
        <v>69.111587999999998</v>
      </c>
    </row>
    <row r="122" spans="1:11" x14ac:dyDescent="0.25">
      <c r="A122" s="1">
        <v>45740</v>
      </c>
      <c r="B122" s="1">
        <v>45731</v>
      </c>
      <c r="C122" t="s">
        <v>12</v>
      </c>
      <c r="D122" t="s">
        <v>35</v>
      </c>
      <c r="E122" t="s">
        <v>41</v>
      </c>
      <c r="F122">
        <v>14020.09</v>
      </c>
      <c r="G122" t="s">
        <v>56</v>
      </c>
      <c r="H122">
        <f t="shared" si="7"/>
        <v>-2.708200000000005E-2</v>
      </c>
      <c r="I122">
        <v>41</v>
      </c>
      <c r="J122">
        <f t="shared" si="5"/>
        <v>-1.1103620000000021</v>
      </c>
      <c r="K122">
        <f t="shared" si="6"/>
        <v>0</v>
      </c>
    </row>
    <row r="123" spans="1:11" x14ac:dyDescent="0.25">
      <c r="A123" s="1">
        <v>45740</v>
      </c>
      <c r="B123" s="1">
        <v>45731</v>
      </c>
      <c r="C123" t="s">
        <v>12</v>
      </c>
      <c r="D123" t="s">
        <v>38</v>
      </c>
      <c r="E123" t="s">
        <v>41</v>
      </c>
      <c r="F123">
        <v>16836.95</v>
      </c>
      <c r="G123" t="s">
        <v>56</v>
      </c>
      <c r="H123">
        <f t="shared" si="7"/>
        <v>0.53629000000000016</v>
      </c>
      <c r="I123">
        <v>41</v>
      </c>
      <c r="J123">
        <f t="shared" si="5"/>
        <v>21.987890000000007</v>
      </c>
      <c r="K123">
        <f t="shared" si="6"/>
        <v>21.987890000000007</v>
      </c>
    </row>
    <row r="124" spans="1:11" x14ac:dyDescent="0.25">
      <c r="A124" s="1">
        <v>45740</v>
      </c>
      <c r="B124" s="1">
        <v>45731</v>
      </c>
      <c r="C124" t="s">
        <v>12</v>
      </c>
      <c r="D124" t="s">
        <v>36</v>
      </c>
      <c r="E124" t="s">
        <v>42</v>
      </c>
      <c r="F124">
        <v>15317.97</v>
      </c>
      <c r="G124" t="s">
        <v>56</v>
      </c>
      <c r="H124">
        <f t="shared" si="7"/>
        <v>0.23249399999999998</v>
      </c>
      <c r="I124">
        <v>21</v>
      </c>
      <c r="J124">
        <f t="shared" si="5"/>
        <v>4.8823739999999995</v>
      </c>
      <c r="K124">
        <f t="shared" si="6"/>
        <v>4.8823739999999995</v>
      </c>
    </row>
    <row r="125" spans="1:11" x14ac:dyDescent="0.25">
      <c r="A125" s="1">
        <v>45740</v>
      </c>
      <c r="B125" s="1">
        <v>45731</v>
      </c>
      <c r="C125" t="s">
        <v>12</v>
      </c>
      <c r="D125" t="s">
        <v>37</v>
      </c>
      <c r="E125" t="s">
        <v>42</v>
      </c>
      <c r="F125">
        <v>15810.94</v>
      </c>
      <c r="G125" t="s">
        <v>56</v>
      </c>
      <c r="H125">
        <f t="shared" si="7"/>
        <v>0.33108800000000027</v>
      </c>
      <c r="I125">
        <v>21</v>
      </c>
      <c r="J125">
        <f t="shared" si="5"/>
        <v>6.9528480000000057</v>
      </c>
      <c r="K125">
        <f t="shared" si="6"/>
        <v>6.9528480000000057</v>
      </c>
    </row>
    <row r="126" spans="1:11" x14ac:dyDescent="0.25">
      <c r="A126" s="1">
        <v>45740</v>
      </c>
      <c r="B126" s="1">
        <v>45731</v>
      </c>
      <c r="C126" t="s">
        <v>12</v>
      </c>
      <c r="D126" t="s">
        <v>35</v>
      </c>
      <c r="E126" t="s">
        <v>42</v>
      </c>
      <c r="F126">
        <v>11915.22</v>
      </c>
      <c r="G126" t="s">
        <v>56</v>
      </c>
      <c r="H126">
        <f t="shared" si="7"/>
        <v>-0.44805600000000023</v>
      </c>
      <c r="I126">
        <v>41</v>
      </c>
      <c r="J126">
        <f t="shared" si="5"/>
        <v>-18.37029600000001</v>
      </c>
      <c r="K126">
        <f t="shared" si="6"/>
        <v>0</v>
      </c>
    </row>
    <row r="127" spans="1:11" x14ac:dyDescent="0.25">
      <c r="A127" s="1">
        <v>45740</v>
      </c>
      <c r="B127" s="1">
        <v>45731</v>
      </c>
      <c r="C127" t="s">
        <v>12</v>
      </c>
      <c r="D127" t="s">
        <v>38</v>
      </c>
      <c r="E127" t="s">
        <v>42</v>
      </c>
      <c r="F127">
        <v>17840.73</v>
      </c>
      <c r="G127" t="s">
        <v>56</v>
      </c>
      <c r="H127">
        <f t="shared" si="7"/>
        <v>0.73704599999999987</v>
      </c>
      <c r="I127">
        <v>41</v>
      </c>
      <c r="J127">
        <f t="shared" si="5"/>
        <v>30.218885999999994</v>
      </c>
      <c r="K127">
        <f t="shared" si="6"/>
        <v>30.218885999999994</v>
      </c>
    </row>
    <row r="128" spans="1:11" x14ac:dyDescent="0.25">
      <c r="A128" s="1">
        <v>45740</v>
      </c>
      <c r="B128" s="1">
        <v>45731</v>
      </c>
      <c r="C128" t="s">
        <v>12</v>
      </c>
      <c r="D128" t="s">
        <v>36</v>
      </c>
      <c r="E128" t="s">
        <v>43</v>
      </c>
      <c r="F128">
        <v>14365.23</v>
      </c>
      <c r="G128" t="s">
        <v>56</v>
      </c>
      <c r="H128">
        <f t="shared" si="7"/>
        <v>4.1945999999999817E-2</v>
      </c>
      <c r="I128">
        <v>21</v>
      </c>
      <c r="J128">
        <f t="shared" si="5"/>
        <v>0.88086599999999615</v>
      </c>
      <c r="K128">
        <f t="shared" si="6"/>
        <v>0.88086599999999615</v>
      </c>
    </row>
    <row r="129" spans="1:11" x14ac:dyDescent="0.25">
      <c r="A129" s="1">
        <v>45740</v>
      </c>
      <c r="B129" s="1">
        <v>45731</v>
      </c>
      <c r="C129" t="s">
        <v>12</v>
      </c>
      <c r="D129" t="s">
        <v>37</v>
      </c>
      <c r="E129" t="s">
        <v>43</v>
      </c>
      <c r="F129">
        <v>48336.74</v>
      </c>
      <c r="G129" t="s">
        <v>56</v>
      </c>
      <c r="H129">
        <f t="shared" si="7"/>
        <v>6.8362480000000003</v>
      </c>
      <c r="I129">
        <v>21</v>
      </c>
      <c r="J129">
        <f t="shared" si="5"/>
        <v>143.56120799999999</v>
      </c>
      <c r="K129">
        <f t="shared" si="6"/>
        <v>143.56120799999999</v>
      </c>
    </row>
    <row r="130" spans="1:11" x14ac:dyDescent="0.25">
      <c r="A130" s="1">
        <v>45740</v>
      </c>
      <c r="B130" s="1">
        <v>45731</v>
      </c>
      <c r="C130" t="s">
        <v>12</v>
      </c>
      <c r="D130" t="s">
        <v>35</v>
      </c>
      <c r="E130" t="s">
        <v>43</v>
      </c>
      <c r="F130">
        <v>33566.39</v>
      </c>
      <c r="G130" t="s">
        <v>56</v>
      </c>
      <c r="H130">
        <f t="shared" si="7"/>
        <v>3.8821779999999997</v>
      </c>
      <c r="I130">
        <v>41</v>
      </c>
      <c r="J130">
        <f t="shared" si="5"/>
        <v>159.169298</v>
      </c>
      <c r="K130">
        <f t="shared" si="6"/>
        <v>159.169298</v>
      </c>
    </row>
    <row r="131" spans="1:11" x14ac:dyDescent="0.25">
      <c r="A131" s="1">
        <v>45740</v>
      </c>
      <c r="B131" s="1">
        <v>45731</v>
      </c>
      <c r="C131" t="s">
        <v>12</v>
      </c>
      <c r="D131" t="s">
        <v>38</v>
      </c>
      <c r="E131" t="s">
        <v>43</v>
      </c>
      <c r="F131">
        <v>32559.47</v>
      </c>
      <c r="G131" t="s">
        <v>56</v>
      </c>
      <c r="H131">
        <f t="shared" si="7"/>
        <v>3.6807940000000006</v>
      </c>
      <c r="I131">
        <v>41</v>
      </c>
      <c r="J131">
        <f t="shared" ref="J131:J158" si="8">H131*I131</f>
        <v>150.91255400000003</v>
      </c>
      <c r="K131">
        <f t="shared" ref="K131:K194" si="9">MAX(J131,0)</f>
        <v>150.91255400000003</v>
      </c>
    </row>
    <row r="132" spans="1:11" x14ac:dyDescent="0.25">
      <c r="A132" s="1">
        <v>45740</v>
      </c>
      <c r="B132" s="1">
        <v>45731</v>
      </c>
      <c r="C132" t="s">
        <v>12</v>
      </c>
      <c r="D132" t="s">
        <v>36</v>
      </c>
      <c r="E132" t="s">
        <v>44</v>
      </c>
      <c r="F132">
        <v>39577.360000000001</v>
      </c>
      <c r="G132" t="s">
        <v>56</v>
      </c>
      <c r="H132">
        <f t="shared" si="7"/>
        <v>5.0843720000000001</v>
      </c>
      <c r="I132">
        <v>21</v>
      </c>
      <c r="J132">
        <f t="shared" si="8"/>
        <v>106.771812</v>
      </c>
      <c r="K132">
        <f t="shared" si="9"/>
        <v>106.771812</v>
      </c>
    </row>
    <row r="133" spans="1:11" x14ac:dyDescent="0.25">
      <c r="A133" s="1">
        <v>45740</v>
      </c>
      <c r="B133" s="1">
        <v>45731</v>
      </c>
      <c r="C133" t="s">
        <v>12</v>
      </c>
      <c r="D133" t="s">
        <v>37</v>
      </c>
      <c r="E133" t="s">
        <v>44</v>
      </c>
      <c r="F133">
        <v>35603.230000000003</v>
      </c>
      <c r="G133" t="s">
        <v>56</v>
      </c>
      <c r="H133">
        <f t="shared" si="7"/>
        <v>4.2895460000000005</v>
      </c>
      <c r="I133">
        <v>21</v>
      </c>
      <c r="J133">
        <f t="shared" si="8"/>
        <v>90.080466000000015</v>
      </c>
      <c r="K133">
        <f t="shared" si="9"/>
        <v>90.080466000000015</v>
      </c>
    </row>
    <row r="134" spans="1:11" x14ac:dyDescent="0.25">
      <c r="A134" s="1">
        <v>45740</v>
      </c>
      <c r="B134" s="1">
        <v>45731</v>
      </c>
      <c r="C134" t="s">
        <v>12</v>
      </c>
      <c r="D134" t="s">
        <v>35</v>
      </c>
      <c r="E134" t="s">
        <v>44</v>
      </c>
      <c r="F134">
        <v>38707.949999999997</v>
      </c>
      <c r="G134" t="s">
        <v>56</v>
      </c>
      <c r="H134">
        <f t="shared" si="7"/>
        <v>4.9104899999999994</v>
      </c>
      <c r="I134">
        <v>41</v>
      </c>
      <c r="J134">
        <f t="shared" si="8"/>
        <v>201.33008999999998</v>
      </c>
      <c r="K134">
        <f t="shared" si="9"/>
        <v>201.33008999999998</v>
      </c>
    </row>
    <row r="135" spans="1:11" x14ac:dyDescent="0.25">
      <c r="A135" s="1">
        <v>45740</v>
      </c>
      <c r="B135" s="1">
        <v>45731</v>
      </c>
      <c r="C135" t="s">
        <v>12</v>
      </c>
      <c r="D135" t="s">
        <v>38</v>
      </c>
      <c r="E135" t="s">
        <v>44</v>
      </c>
      <c r="F135">
        <v>43652.13</v>
      </c>
      <c r="G135" t="s">
        <v>56</v>
      </c>
      <c r="H135">
        <f t="shared" si="7"/>
        <v>5.8993259999999994</v>
      </c>
      <c r="I135">
        <v>41</v>
      </c>
      <c r="J135">
        <f t="shared" si="8"/>
        <v>241.87236599999997</v>
      </c>
      <c r="K135">
        <f t="shared" si="9"/>
        <v>241.87236599999997</v>
      </c>
    </row>
    <row r="136" spans="1:11" x14ac:dyDescent="0.25">
      <c r="A136" s="1">
        <v>45740</v>
      </c>
      <c r="B136" s="1">
        <v>45731</v>
      </c>
      <c r="C136" t="s">
        <v>30</v>
      </c>
      <c r="D136" t="s">
        <v>36</v>
      </c>
      <c r="E136" t="s">
        <v>39</v>
      </c>
      <c r="F136">
        <v>42452.25</v>
      </c>
      <c r="G136" t="s">
        <v>56</v>
      </c>
      <c r="H136">
        <f t="shared" si="7"/>
        <v>5.6593500000000008</v>
      </c>
      <c r="I136">
        <v>21</v>
      </c>
      <c r="J136">
        <f t="shared" si="8"/>
        <v>118.84635000000002</v>
      </c>
      <c r="K136">
        <f t="shared" si="9"/>
        <v>118.84635000000002</v>
      </c>
    </row>
    <row r="137" spans="1:11" x14ac:dyDescent="0.25">
      <c r="A137" s="1">
        <v>45740</v>
      </c>
      <c r="B137" s="1">
        <v>45731</v>
      </c>
      <c r="C137" t="s">
        <v>30</v>
      </c>
      <c r="D137" t="s">
        <v>37</v>
      </c>
      <c r="E137" t="s">
        <v>39</v>
      </c>
      <c r="F137">
        <v>38468.79</v>
      </c>
      <c r="G137" t="s">
        <v>56</v>
      </c>
      <c r="H137">
        <f t="shared" si="7"/>
        <v>4.8626580000000006</v>
      </c>
      <c r="I137">
        <v>21</v>
      </c>
      <c r="J137">
        <f t="shared" si="8"/>
        <v>102.11581800000002</v>
      </c>
      <c r="K137">
        <f t="shared" si="9"/>
        <v>102.11581800000002</v>
      </c>
    </row>
    <row r="138" spans="1:11" x14ac:dyDescent="0.25">
      <c r="A138" s="1">
        <v>45740</v>
      </c>
      <c r="B138" s="1">
        <v>45731</v>
      </c>
      <c r="C138" t="s">
        <v>30</v>
      </c>
      <c r="D138" t="s">
        <v>35</v>
      </c>
      <c r="E138" t="s">
        <v>39</v>
      </c>
      <c r="F138">
        <v>41912.68</v>
      </c>
      <c r="G138" t="s">
        <v>56</v>
      </c>
      <c r="H138">
        <f t="shared" si="7"/>
        <v>5.5514359999999998</v>
      </c>
      <c r="I138">
        <v>41</v>
      </c>
      <c r="J138">
        <f t="shared" si="8"/>
        <v>227.60887599999998</v>
      </c>
      <c r="K138">
        <f t="shared" si="9"/>
        <v>227.60887599999998</v>
      </c>
    </row>
    <row r="139" spans="1:11" x14ac:dyDescent="0.25">
      <c r="A139" s="1">
        <v>45740</v>
      </c>
      <c r="B139" s="1">
        <v>45731</v>
      </c>
      <c r="C139" t="s">
        <v>30</v>
      </c>
      <c r="D139" t="s">
        <v>38</v>
      </c>
      <c r="E139" t="s">
        <v>39</v>
      </c>
      <c r="F139">
        <v>39892.54</v>
      </c>
      <c r="G139" t="s">
        <v>56</v>
      </c>
      <c r="H139">
        <f t="shared" si="7"/>
        <v>5.1474080000000004</v>
      </c>
      <c r="I139">
        <v>41</v>
      </c>
      <c r="J139">
        <f t="shared" si="8"/>
        <v>211.04372800000002</v>
      </c>
      <c r="K139">
        <f t="shared" si="9"/>
        <v>211.04372800000002</v>
      </c>
    </row>
    <row r="140" spans="1:11" x14ac:dyDescent="0.25">
      <c r="A140" s="1">
        <v>45740</v>
      </c>
      <c r="B140" s="1">
        <v>45731</v>
      </c>
      <c r="C140" t="s">
        <v>30</v>
      </c>
      <c r="D140" t="s">
        <v>36</v>
      </c>
      <c r="E140" t="s">
        <v>40</v>
      </c>
      <c r="F140">
        <v>34112.46</v>
      </c>
      <c r="G140" t="s">
        <v>56</v>
      </c>
      <c r="H140">
        <f t="shared" si="7"/>
        <v>3.9913920000000003</v>
      </c>
      <c r="I140">
        <v>21</v>
      </c>
      <c r="J140">
        <f t="shared" si="8"/>
        <v>83.819232</v>
      </c>
      <c r="K140">
        <f t="shared" si="9"/>
        <v>83.819232</v>
      </c>
    </row>
    <row r="141" spans="1:11" x14ac:dyDescent="0.25">
      <c r="A141" s="1">
        <v>45740</v>
      </c>
      <c r="B141" s="1">
        <v>45731</v>
      </c>
      <c r="C141" t="s">
        <v>30</v>
      </c>
      <c r="D141" t="s">
        <v>37</v>
      </c>
      <c r="E141" t="s">
        <v>40</v>
      </c>
      <c r="F141">
        <v>35717.32</v>
      </c>
      <c r="G141" t="s">
        <v>56</v>
      </c>
      <c r="H141">
        <f t="shared" ref="H141:H159" si="10">(0.0002*F141)-2.8311</f>
        <v>4.3123640000000005</v>
      </c>
      <c r="I141">
        <v>21</v>
      </c>
      <c r="J141">
        <f t="shared" si="8"/>
        <v>90.559644000000006</v>
      </c>
      <c r="K141">
        <f t="shared" si="9"/>
        <v>90.559644000000006</v>
      </c>
    </row>
    <row r="142" spans="1:11" x14ac:dyDescent="0.25">
      <c r="A142" s="1">
        <v>45740</v>
      </c>
      <c r="B142" s="1">
        <v>45731</v>
      </c>
      <c r="C142" t="s">
        <v>30</v>
      </c>
      <c r="D142" t="s">
        <v>35</v>
      </c>
      <c r="E142" t="s">
        <v>40</v>
      </c>
      <c r="F142">
        <v>48419.05</v>
      </c>
      <c r="G142" t="s">
        <v>56</v>
      </c>
      <c r="H142">
        <f t="shared" si="10"/>
        <v>6.852710000000001</v>
      </c>
      <c r="I142">
        <v>41</v>
      </c>
      <c r="J142">
        <f t="shared" si="8"/>
        <v>280.96111000000002</v>
      </c>
      <c r="K142">
        <f t="shared" si="9"/>
        <v>280.96111000000002</v>
      </c>
    </row>
    <row r="143" spans="1:11" x14ac:dyDescent="0.25">
      <c r="A143" s="1">
        <v>45740</v>
      </c>
      <c r="B143" s="1">
        <v>45731</v>
      </c>
      <c r="C143" t="s">
        <v>30</v>
      </c>
      <c r="D143" t="s">
        <v>38</v>
      </c>
      <c r="E143" t="s">
        <v>40</v>
      </c>
      <c r="F143">
        <v>50564.13</v>
      </c>
      <c r="G143" t="s">
        <v>56</v>
      </c>
      <c r="H143">
        <f t="shared" si="10"/>
        <v>7.2817259999999999</v>
      </c>
      <c r="I143">
        <v>41</v>
      </c>
      <c r="J143">
        <f t="shared" si="8"/>
        <v>298.55076600000001</v>
      </c>
      <c r="K143">
        <f t="shared" si="9"/>
        <v>298.55076600000001</v>
      </c>
    </row>
    <row r="144" spans="1:11" x14ac:dyDescent="0.25">
      <c r="A144" s="1">
        <v>45740</v>
      </c>
      <c r="B144" s="1">
        <v>45731</v>
      </c>
      <c r="C144" t="s">
        <v>30</v>
      </c>
      <c r="D144" t="s">
        <v>36</v>
      </c>
      <c r="E144" t="s">
        <v>41</v>
      </c>
      <c r="F144">
        <v>43733.79</v>
      </c>
      <c r="G144" t="s">
        <v>56</v>
      </c>
      <c r="H144">
        <f t="shared" si="10"/>
        <v>5.9156579999999996</v>
      </c>
      <c r="I144">
        <v>21</v>
      </c>
      <c r="J144">
        <f t="shared" si="8"/>
        <v>124.22881799999999</v>
      </c>
      <c r="K144">
        <f t="shared" si="9"/>
        <v>124.22881799999999</v>
      </c>
    </row>
    <row r="145" spans="1:11" x14ac:dyDescent="0.25">
      <c r="A145" s="1">
        <v>45740</v>
      </c>
      <c r="B145" s="1">
        <v>45731</v>
      </c>
      <c r="C145" t="s">
        <v>30</v>
      </c>
      <c r="D145" t="s">
        <v>37</v>
      </c>
      <c r="E145" t="s">
        <v>41</v>
      </c>
      <c r="F145">
        <v>45203.519999999997</v>
      </c>
      <c r="G145" t="s">
        <v>56</v>
      </c>
      <c r="H145">
        <f t="shared" si="10"/>
        <v>6.2096039999999997</v>
      </c>
      <c r="I145">
        <v>21</v>
      </c>
      <c r="J145">
        <f t="shared" si="8"/>
        <v>130.40168399999999</v>
      </c>
      <c r="K145">
        <f t="shared" si="9"/>
        <v>130.40168399999999</v>
      </c>
    </row>
    <row r="146" spans="1:11" x14ac:dyDescent="0.25">
      <c r="A146" s="1">
        <v>45740</v>
      </c>
      <c r="B146" s="1">
        <v>45731</v>
      </c>
      <c r="C146" t="s">
        <v>30</v>
      </c>
      <c r="D146" t="s">
        <v>35</v>
      </c>
      <c r="E146" t="s">
        <v>41</v>
      </c>
      <c r="F146">
        <v>52583.18</v>
      </c>
      <c r="G146" t="s">
        <v>56</v>
      </c>
      <c r="H146">
        <f t="shared" si="10"/>
        <v>7.6855359999999999</v>
      </c>
      <c r="I146">
        <v>41</v>
      </c>
      <c r="J146">
        <f t="shared" si="8"/>
        <v>315.10697599999997</v>
      </c>
      <c r="K146">
        <f t="shared" si="9"/>
        <v>315.10697599999997</v>
      </c>
    </row>
    <row r="147" spans="1:11" x14ac:dyDescent="0.25">
      <c r="A147" s="1">
        <v>45740</v>
      </c>
      <c r="B147" s="1">
        <v>45731</v>
      </c>
      <c r="C147" t="s">
        <v>30</v>
      </c>
      <c r="D147" t="s">
        <v>38</v>
      </c>
      <c r="E147" t="s">
        <v>41</v>
      </c>
      <c r="F147">
        <v>40646.79</v>
      </c>
      <c r="G147" t="s">
        <v>56</v>
      </c>
      <c r="H147">
        <f t="shared" si="10"/>
        <v>5.2982579999999997</v>
      </c>
      <c r="I147">
        <v>41</v>
      </c>
      <c r="J147">
        <f t="shared" si="8"/>
        <v>217.228578</v>
      </c>
      <c r="K147">
        <f t="shared" si="9"/>
        <v>217.228578</v>
      </c>
    </row>
    <row r="148" spans="1:11" x14ac:dyDescent="0.25">
      <c r="A148" s="1">
        <v>45740</v>
      </c>
      <c r="B148" s="1">
        <v>45731</v>
      </c>
      <c r="C148" t="s">
        <v>30</v>
      </c>
      <c r="D148" t="s">
        <v>36</v>
      </c>
      <c r="E148" t="s">
        <v>42</v>
      </c>
      <c r="F148">
        <v>38373.089999999997</v>
      </c>
      <c r="G148" t="s">
        <v>56</v>
      </c>
      <c r="H148">
        <f t="shared" si="10"/>
        <v>4.8435179999999995</v>
      </c>
      <c r="I148">
        <v>21</v>
      </c>
      <c r="J148">
        <f t="shared" si="8"/>
        <v>101.71387799999999</v>
      </c>
      <c r="K148">
        <f t="shared" si="9"/>
        <v>101.71387799999999</v>
      </c>
    </row>
    <row r="149" spans="1:11" x14ac:dyDescent="0.25">
      <c r="A149" s="1">
        <v>45740</v>
      </c>
      <c r="B149" s="1">
        <v>45731</v>
      </c>
      <c r="C149" t="s">
        <v>30</v>
      </c>
      <c r="D149" t="s">
        <v>37</v>
      </c>
      <c r="E149" t="s">
        <v>42</v>
      </c>
      <c r="F149">
        <v>42632.11</v>
      </c>
      <c r="G149" t="s">
        <v>56</v>
      </c>
      <c r="H149">
        <f t="shared" si="10"/>
        <v>5.695322</v>
      </c>
      <c r="I149">
        <v>21</v>
      </c>
      <c r="J149">
        <f t="shared" si="8"/>
        <v>119.60176199999999</v>
      </c>
      <c r="K149">
        <f t="shared" si="9"/>
        <v>119.60176199999999</v>
      </c>
    </row>
    <row r="150" spans="1:11" x14ac:dyDescent="0.25">
      <c r="A150" s="1">
        <v>45740</v>
      </c>
      <c r="B150" s="1">
        <v>45731</v>
      </c>
      <c r="C150" t="s">
        <v>30</v>
      </c>
      <c r="D150" t="s">
        <v>35</v>
      </c>
      <c r="E150" t="s">
        <v>42</v>
      </c>
      <c r="F150">
        <v>39979.18</v>
      </c>
      <c r="G150" t="s">
        <v>56</v>
      </c>
      <c r="H150">
        <f t="shared" si="10"/>
        <v>5.1647360000000004</v>
      </c>
      <c r="I150">
        <v>41</v>
      </c>
      <c r="J150">
        <f t="shared" si="8"/>
        <v>211.75417600000003</v>
      </c>
      <c r="K150">
        <f t="shared" si="9"/>
        <v>211.75417600000003</v>
      </c>
    </row>
    <row r="151" spans="1:11" x14ac:dyDescent="0.25">
      <c r="A151" s="1">
        <v>45740</v>
      </c>
      <c r="B151" s="1">
        <v>45731</v>
      </c>
      <c r="C151" t="s">
        <v>30</v>
      </c>
      <c r="D151" t="s">
        <v>38</v>
      </c>
      <c r="E151" t="s">
        <v>42</v>
      </c>
      <c r="F151">
        <v>34144.879999999997</v>
      </c>
      <c r="G151" t="s">
        <v>56</v>
      </c>
      <c r="H151">
        <f t="shared" si="10"/>
        <v>3.9978759999999998</v>
      </c>
      <c r="I151">
        <v>41</v>
      </c>
      <c r="J151">
        <f t="shared" si="8"/>
        <v>163.912916</v>
      </c>
      <c r="K151">
        <f t="shared" si="9"/>
        <v>163.912916</v>
      </c>
    </row>
    <row r="152" spans="1:11" x14ac:dyDescent="0.25">
      <c r="A152" s="1">
        <v>45740</v>
      </c>
      <c r="B152" s="1">
        <v>45731</v>
      </c>
      <c r="C152" t="s">
        <v>30</v>
      </c>
      <c r="D152" t="s">
        <v>36</v>
      </c>
      <c r="E152" t="s">
        <v>43</v>
      </c>
      <c r="F152">
        <v>113697.41</v>
      </c>
      <c r="G152" t="s">
        <v>56</v>
      </c>
      <c r="H152">
        <f t="shared" si="10"/>
        <v>19.908382000000003</v>
      </c>
      <c r="I152">
        <v>21</v>
      </c>
      <c r="J152">
        <f t="shared" si="8"/>
        <v>418.07602200000008</v>
      </c>
      <c r="K152">
        <f t="shared" si="9"/>
        <v>418.07602200000008</v>
      </c>
    </row>
    <row r="153" spans="1:11" x14ac:dyDescent="0.25">
      <c r="A153" s="1">
        <v>45740</v>
      </c>
      <c r="B153" s="1">
        <v>45731</v>
      </c>
      <c r="C153" t="s">
        <v>30</v>
      </c>
      <c r="D153" t="s">
        <v>37</v>
      </c>
      <c r="E153" t="s">
        <v>43</v>
      </c>
      <c r="F153">
        <v>37627.14</v>
      </c>
      <c r="G153" t="s">
        <v>56</v>
      </c>
      <c r="H153">
        <f t="shared" si="10"/>
        <v>4.6943280000000005</v>
      </c>
      <c r="I153">
        <v>21</v>
      </c>
      <c r="J153">
        <f t="shared" si="8"/>
        <v>98.580888000000016</v>
      </c>
      <c r="K153">
        <f t="shared" si="9"/>
        <v>98.580888000000016</v>
      </c>
    </row>
    <row r="154" spans="1:11" x14ac:dyDescent="0.25">
      <c r="A154" s="1">
        <v>45740</v>
      </c>
      <c r="B154" s="1">
        <v>45731</v>
      </c>
      <c r="C154" t="s">
        <v>30</v>
      </c>
      <c r="D154" t="s">
        <v>35</v>
      </c>
      <c r="E154" t="s">
        <v>43</v>
      </c>
      <c r="F154">
        <v>41656.57</v>
      </c>
      <c r="G154" t="s">
        <v>56</v>
      </c>
      <c r="H154">
        <f t="shared" si="10"/>
        <v>5.5002140000000006</v>
      </c>
      <c r="I154">
        <v>41</v>
      </c>
      <c r="J154">
        <f t="shared" si="8"/>
        <v>225.50877400000002</v>
      </c>
      <c r="K154">
        <f t="shared" si="9"/>
        <v>225.50877400000002</v>
      </c>
    </row>
    <row r="155" spans="1:11" x14ac:dyDescent="0.25">
      <c r="A155" s="1">
        <v>45740</v>
      </c>
      <c r="B155" s="1">
        <v>45731</v>
      </c>
      <c r="C155" t="s">
        <v>30</v>
      </c>
      <c r="D155" t="s">
        <v>38</v>
      </c>
      <c r="E155" t="s">
        <v>43</v>
      </c>
      <c r="F155">
        <v>41266.910000000003</v>
      </c>
      <c r="G155" t="s">
        <v>56</v>
      </c>
      <c r="H155">
        <f t="shared" si="10"/>
        <v>5.422282</v>
      </c>
      <c r="I155">
        <v>41</v>
      </c>
      <c r="J155">
        <f t="shared" si="8"/>
        <v>222.31356199999999</v>
      </c>
      <c r="K155">
        <f t="shared" si="9"/>
        <v>222.31356199999999</v>
      </c>
    </row>
    <row r="156" spans="1:11" x14ac:dyDescent="0.25">
      <c r="A156" s="1">
        <v>45740</v>
      </c>
      <c r="B156" s="1">
        <v>45731</v>
      </c>
      <c r="C156" t="s">
        <v>30</v>
      </c>
      <c r="D156" t="s">
        <v>36</v>
      </c>
      <c r="E156" t="s">
        <v>44</v>
      </c>
      <c r="F156">
        <v>52695.46</v>
      </c>
      <c r="G156" t="s">
        <v>56</v>
      </c>
      <c r="H156">
        <f t="shared" si="10"/>
        <v>7.707992</v>
      </c>
      <c r="I156">
        <v>21</v>
      </c>
      <c r="J156">
        <f t="shared" si="8"/>
        <v>161.86783199999999</v>
      </c>
      <c r="K156">
        <f t="shared" si="9"/>
        <v>161.86783199999999</v>
      </c>
    </row>
    <row r="157" spans="1:11" x14ac:dyDescent="0.25">
      <c r="A157" s="1">
        <v>45740</v>
      </c>
      <c r="B157" s="1">
        <v>45731</v>
      </c>
      <c r="C157" t="s">
        <v>30</v>
      </c>
      <c r="D157" t="s">
        <v>37</v>
      </c>
      <c r="E157" t="s">
        <v>44</v>
      </c>
      <c r="F157">
        <v>55405.69</v>
      </c>
      <c r="G157" t="s">
        <v>56</v>
      </c>
      <c r="H157">
        <f t="shared" si="10"/>
        <v>8.250038</v>
      </c>
      <c r="I157">
        <v>21</v>
      </c>
      <c r="J157">
        <f t="shared" si="8"/>
        <v>173.250798</v>
      </c>
      <c r="K157">
        <f t="shared" si="9"/>
        <v>173.250798</v>
      </c>
    </row>
    <row r="158" spans="1:11" x14ac:dyDescent="0.25">
      <c r="A158" s="1">
        <v>45740</v>
      </c>
      <c r="B158" s="1">
        <v>45731</v>
      </c>
      <c r="C158" t="s">
        <v>30</v>
      </c>
      <c r="D158" t="s">
        <v>35</v>
      </c>
      <c r="E158" t="s">
        <v>44</v>
      </c>
      <c r="F158">
        <v>44903.79</v>
      </c>
      <c r="G158" t="s">
        <v>56</v>
      </c>
      <c r="H158">
        <f t="shared" si="10"/>
        <v>6.1496579999999996</v>
      </c>
      <c r="I158">
        <v>41</v>
      </c>
      <c r="J158">
        <f t="shared" si="8"/>
        <v>252.13597799999999</v>
      </c>
      <c r="K158">
        <f t="shared" si="9"/>
        <v>252.13597799999999</v>
      </c>
    </row>
    <row r="159" spans="1:11" x14ac:dyDescent="0.25">
      <c r="A159" s="1">
        <v>45740</v>
      </c>
      <c r="B159" s="1">
        <v>45731</v>
      </c>
      <c r="C159" t="s">
        <v>30</v>
      </c>
      <c r="D159" t="s">
        <v>38</v>
      </c>
      <c r="E159" t="s">
        <v>44</v>
      </c>
      <c r="F159">
        <v>502760.47</v>
      </c>
      <c r="G159" t="s">
        <v>56</v>
      </c>
      <c r="H159">
        <f t="shared" si="10"/>
        <v>97.72099399999999</v>
      </c>
      <c r="I159">
        <v>41</v>
      </c>
      <c r="J159">
        <f>H159*I159</f>
        <v>4006.5607539999996</v>
      </c>
      <c r="K159">
        <f t="shared" si="9"/>
        <v>4006.5607539999996</v>
      </c>
    </row>
    <row r="160" spans="1:11" x14ac:dyDescent="0.25">
      <c r="B160" s="4">
        <v>45800</v>
      </c>
      <c r="C160" t="s">
        <v>60</v>
      </c>
      <c r="E160" t="s">
        <v>13</v>
      </c>
      <c r="F160">
        <v>194797.72</v>
      </c>
      <c r="G160" t="s">
        <v>85</v>
      </c>
      <c r="H160">
        <f>(0.0003*F160)-28.981</f>
        <v>29.458315999999996</v>
      </c>
      <c r="I160">
        <v>41</v>
      </c>
      <c r="J160">
        <f t="shared" ref="J160:J223" si="11">H160*I160</f>
        <v>1207.7909559999998</v>
      </c>
      <c r="K160">
        <f t="shared" si="9"/>
        <v>1207.7909559999998</v>
      </c>
    </row>
    <row r="161" spans="1:11" x14ac:dyDescent="0.25">
      <c r="B161" s="4">
        <v>45800</v>
      </c>
      <c r="C161" t="s">
        <v>60</v>
      </c>
      <c r="E161" t="s">
        <v>14</v>
      </c>
      <c r="F161">
        <v>118526.99</v>
      </c>
      <c r="G161" t="s">
        <v>85</v>
      </c>
      <c r="H161">
        <f>(0.0003*F161)-28.981</f>
        <v>6.5770969999999949</v>
      </c>
      <c r="I161">
        <v>41</v>
      </c>
      <c r="J161">
        <f t="shared" si="11"/>
        <v>269.66097699999978</v>
      </c>
      <c r="K161">
        <f t="shared" si="9"/>
        <v>269.66097699999978</v>
      </c>
    </row>
    <row r="162" spans="1:11" x14ac:dyDescent="0.25">
      <c r="B162" s="4">
        <v>45800</v>
      </c>
      <c r="C162" t="s">
        <v>60</v>
      </c>
      <c r="E162" t="s">
        <v>15</v>
      </c>
      <c r="F162">
        <v>224185.33</v>
      </c>
      <c r="G162" t="s">
        <v>85</v>
      </c>
      <c r="H162">
        <f t="shared" ref="H162:H225" si="12">(0.0003*F162)-28.981</f>
        <v>38.274598999999988</v>
      </c>
      <c r="I162">
        <v>41</v>
      </c>
      <c r="J162">
        <f t="shared" si="11"/>
        <v>1569.2585589999994</v>
      </c>
      <c r="K162">
        <f t="shared" si="9"/>
        <v>1569.2585589999994</v>
      </c>
    </row>
    <row r="163" spans="1:11" x14ac:dyDescent="0.25">
      <c r="B163" s="4">
        <v>45800</v>
      </c>
      <c r="C163" t="s">
        <v>60</v>
      </c>
      <c r="E163" t="s">
        <v>61</v>
      </c>
      <c r="F163">
        <v>193532.77</v>
      </c>
      <c r="G163" t="s">
        <v>85</v>
      </c>
      <c r="H163">
        <f t="shared" si="12"/>
        <v>29.078830999999987</v>
      </c>
      <c r="I163">
        <v>41</v>
      </c>
      <c r="J163">
        <f t="shared" si="11"/>
        <v>1192.2320709999995</v>
      </c>
      <c r="K163">
        <f t="shared" si="9"/>
        <v>1192.2320709999995</v>
      </c>
    </row>
    <row r="164" spans="1:11" x14ac:dyDescent="0.25">
      <c r="B164" s="4">
        <v>45800</v>
      </c>
      <c r="C164" t="s">
        <v>60</v>
      </c>
      <c r="E164" t="s">
        <v>16</v>
      </c>
      <c r="F164">
        <v>281609.09000000003</v>
      </c>
      <c r="G164" t="s">
        <v>85</v>
      </c>
      <c r="H164">
        <f t="shared" si="12"/>
        <v>55.501726999999995</v>
      </c>
      <c r="I164">
        <v>41</v>
      </c>
      <c r="J164">
        <f t="shared" si="11"/>
        <v>2275.5708069999996</v>
      </c>
      <c r="K164">
        <f t="shared" si="9"/>
        <v>2275.5708069999996</v>
      </c>
    </row>
    <row r="165" spans="1:11" x14ac:dyDescent="0.25">
      <c r="B165" s="4">
        <v>45800</v>
      </c>
      <c r="C165" t="s">
        <v>60</v>
      </c>
      <c r="E165" t="s">
        <v>17</v>
      </c>
      <c r="F165">
        <v>170305.88</v>
      </c>
      <c r="G165" t="s">
        <v>85</v>
      </c>
      <c r="H165">
        <f t="shared" si="12"/>
        <v>22.110763999999996</v>
      </c>
      <c r="I165">
        <v>41</v>
      </c>
      <c r="J165">
        <f t="shared" si="11"/>
        <v>906.5413239999998</v>
      </c>
      <c r="K165">
        <f t="shared" si="9"/>
        <v>906.5413239999998</v>
      </c>
    </row>
    <row r="166" spans="1:11" x14ac:dyDescent="0.25">
      <c r="A166" s="3"/>
      <c r="B166" s="5">
        <v>45800</v>
      </c>
      <c r="C166" s="3" t="s">
        <v>60</v>
      </c>
      <c r="D166" s="3"/>
      <c r="E166" s="3" t="s">
        <v>12</v>
      </c>
      <c r="F166" s="3" t="s">
        <v>69</v>
      </c>
      <c r="G166" t="s">
        <v>85</v>
      </c>
      <c r="H166" t="e">
        <f t="shared" si="12"/>
        <v>#VALUE!</v>
      </c>
      <c r="I166">
        <v>41</v>
      </c>
      <c r="J166" t="e">
        <f t="shared" si="11"/>
        <v>#VALUE!</v>
      </c>
      <c r="K166" t="e">
        <f t="shared" si="9"/>
        <v>#VALUE!</v>
      </c>
    </row>
    <row r="167" spans="1:11" x14ac:dyDescent="0.25">
      <c r="B167" s="4">
        <v>45800</v>
      </c>
      <c r="C167" t="s">
        <v>60</v>
      </c>
      <c r="E167" t="s">
        <v>62</v>
      </c>
      <c r="F167">
        <v>135569.75</v>
      </c>
      <c r="G167" t="s">
        <v>85</v>
      </c>
      <c r="H167">
        <f t="shared" si="12"/>
        <v>11.689924999999995</v>
      </c>
      <c r="I167">
        <v>41</v>
      </c>
      <c r="J167">
        <f t="shared" si="11"/>
        <v>479.28692499999983</v>
      </c>
      <c r="K167">
        <f t="shared" si="9"/>
        <v>479.28692499999983</v>
      </c>
    </row>
    <row r="168" spans="1:11" x14ac:dyDescent="0.25">
      <c r="B168" s="4">
        <v>45800</v>
      </c>
      <c r="C168" t="s">
        <v>60</v>
      </c>
      <c r="E168" t="s">
        <v>18</v>
      </c>
      <c r="F168">
        <v>159067.26999999999</v>
      </c>
      <c r="G168" t="s">
        <v>85</v>
      </c>
      <c r="H168">
        <f t="shared" si="12"/>
        <v>18.739180999999988</v>
      </c>
      <c r="I168">
        <v>41</v>
      </c>
      <c r="J168">
        <f t="shared" si="11"/>
        <v>768.30642099999955</v>
      </c>
      <c r="K168">
        <f t="shared" si="9"/>
        <v>768.30642099999955</v>
      </c>
    </row>
    <row r="169" spans="1:11" x14ac:dyDescent="0.25">
      <c r="B169" s="4">
        <v>45800</v>
      </c>
      <c r="C169" t="s">
        <v>60</v>
      </c>
      <c r="E169" t="s">
        <v>19</v>
      </c>
      <c r="F169">
        <v>187624.09</v>
      </c>
      <c r="G169" t="s">
        <v>85</v>
      </c>
      <c r="H169">
        <f t="shared" si="12"/>
        <v>27.306226999999993</v>
      </c>
      <c r="I169">
        <v>41</v>
      </c>
      <c r="J169">
        <f t="shared" si="11"/>
        <v>1119.5553069999996</v>
      </c>
      <c r="K169">
        <f t="shared" si="9"/>
        <v>1119.5553069999996</v>
      </c>
    </row>
    <row r="170" spans="1:11" x14ac:dyDescent="0.25">
      <c r="B170" s="4">
        <v>45800</v>
      </c>
      <c r="C170" t="s">
        <v>60</v>
      </c>
      <c r="E170" t="s">
        <v>20</v>
      </c>
      <c r="F170">
        <v>471157.75</v>
      </c>
      <c r="G170" t="s">
        <v>85</v>
      </c>
      <c r="H170">
        <f t="shared" si="12"/>
        <v>112.36632499999999</v>
      </c>
      <c r="I170">
        <v>41</v>
      </c>
      <c r="J170">
        <f t="shared" si="11"/>
        <v>4607.0193249999993</v>
      </c>
      <c r="K170">
        <f t="shared" si="9"/>
        <v>4607.0193249999993</v>
      </c>
    </row>
    <row r="171" spans="1:11" x14ac:dyDescent="0.25">
      <c r="B171" s="4">
        <v>45800</v>
      </c>
      <c r="C171" t="s">
        <v>60</v>
      </c>
      <c r="E171" t="s">
        <v>63</v>
      </c>
      <c r="F171">
        <v>309000.75</v>
      </c>
      <c r="G171" t="s">
        <v>85</v>
      </c>
      <c r="H171">
        <f t="shared" si="12"/>
        <v>63.719224999999987</v>
      </c>
      <c r="I171">
        <v>41</v>
      </c>
      <c r="J171">
        <f t="shared" si="11"/>
        <v>2612.4882249999996</v>
      </c>
      <c r="K171">
        <f t="shared" si="9"/>
        <v>2612.4882249999996</v>
      </c>
    </row>
    <row r="172" spans="1:11" x14ac:dyDescent="0.25">
      <c r="B172" s="4">
        <v>45800</v>
      </c>
      <c r="C172" t="s">
        <v>60</v>
      </c>
      <c r="E172" t="s">
        <v>21</v>
      </c>
      <c r="F172">
        <v>181199.81</v>
      </c>
      <c r="G172" t="s">
        <v>85</v>
      </c>
      <c r="H172">
        <f t="shared" si="12"/>
        <v>25.378942999999992</v>
      </c>
      <c r="I172">
        <v>41</v>
      </c>
      <c r="J172">
        <f t="shared" si="11"/>
        <v>1040.5366629999996</v>
      </c>
      <c r="K172">
        <f t="shared" si="9"/>
        <v>1040.5366629999996</v>
      </c>
    </row>
    <row r="173" spans="1:11" x14ac:dyDescent="0.25">
      <c r="B173" s="4">
        <v>45800</v>
      </c>
      <c r="C173" t="s">
        <v>60</v>
      </c>
      <c r="E173" t="s">
        <v>22</v>
      </c>
      <c r="F173">
        <v>228212.78</v>
      </c>
      <c r="G173" t="s">
        <v>85</v>
      </c>
      <c r="H173">
        <f t="shared" si="12"/>
        <v>39.48283399999999</v>
      </c>
      <c r="I173">
        <v>41</v>
      </c>
      <c r="J173">
        <f t="shared" si="11"/>
        <v>1618.7961939999996</v>
      </c>
      <c r="K173">
        <f t="shared" si="9"/>
        <v>1618.7961939999996</v>
      </c>
    </row>
    <row r="174" spans="1:11" x14ac:dyDescent="0.25">
      <c r="B174" s="4">
        <v>45800</v>
      </c>
      <c r="C174" t="s">
        <v>60</v>
      </c>
      <c r="E174" t="s">
        <v>23</v>
      </c>
      <c r="F174">
        <v>390233.81</v>
      </c>
      <c r="G174" t="s">
        <v>85</v>
      </c>
      <c r="H174">
        <f t="shared" si="12"/>
        <v>88.089142999999979</v>
      </c>
      <c r="I174">
        <v>41</v>
      </c>
      <c r="J174">
        <f t="shared" si="11"/>
        <v>3611.6548629999993</v>
      </c>
      <c r="K174">
        <f t="shared" si="9"/>
        <v>3611.6548629999993</v>
      </c>
    </row>
    <row r="175" spans="1:11" x14ac:dyDescent="0.25">
      <c r="B175" s="4">
        <v>45800</v>
      </c>
      <c r="C175" t="s">
        <v>60</v>
      </c>
      <c r="E175" t="s">
        <v>64</v>
      </c>
      <c r="F175">
        <v>346803.25</v>
      </c>
      <c r="G175" t="s">
        <v>85</v>
      </c>
      <c r="H175">
        <f t="shared" si="12"/>
        <v>75.05997499999998</v>
      </c>
      <c r="I175">
        <v>41</v>
      </c>
      <c r="J175">
        <f t="shared" si="11"/>
        <v>3077.4589749999991</v>
      </c>
      <c r="K175">
        <f t="shared" si="9"/>
        <v>3077.4589749999991</v>
      </c>
    </row>
    <row r="176" spans="1:11" x14ac:dyDescent="0.25">
      <c r="B176" s="4">
        <v>45800</v>
      </c>
      <c r="C176" t="s">
        <v>60</v>
      </c>
      <c r="E176" t="s">
        <v>24</v>
      </c>
      <c r="F176">
        <v>279540.88</v>
      </c>
      <c r="G176" t="s">
        <v>85</v>
      </c>
      <c r="H176">
        <f t="shared" si="12"/>
        <v>54.881263999999994</v>
      </c>
      <c r="I176">
        <v>41</v>
      </c>
      <c r="J176">
        <f t="shared" si="11"/>
        <v>2250.1318239999996</v>
      </c>
      <c r="K176">
        <f t="shared" si="9"/>
        <v>2250.1318239999996</v>
      </c>
    </row>
    <row r="177" spans="2:11" x14ac:dyDescent="0.25">
      <c r="B177" s="4">
        <v>45800</v>
      </c>
      <c r="C177" t="s">
        <v>60</v>
      </c>
      <c r="E177" t="s">
        <v>25</v>
      </c>
      <c r="F177">
        <v>218813.81</v>
      </c>
      <c r="G177" t="s">
        <v>85</v>
      </c>
      <c r="H177">
        <f t="shared" si="12"/>
        <v>36.663142999999998</v>
      </c>
      <c r="I177">
        <v>41</v>
      </c>
      <c r="J177">
        <f t="shared" si="11"/>
        <v>1503.1888629999999</v>
      </c>
      <c r="K177">
        <f t="shared" si="9"/>
        <v>1503.1888629999999</v>
      </c>
    </row>
    <row r="178" spans="2:11" x14ac:dyDescent="0.25">
      <c r="B178" s="4">
        <v>45800</v>
      </c>
      <c r="C178" t="s">
        <v>60</v>
      </c>
      <c r="E178" t="s">
        <v>26</v>
      </c>
      <c r="F178">
        <v>151824.25</v>
      </c>
      <c r="G178" t="s">
        <v>85</v>
      </c>
      <c r="H178">
        <f t="shared" si="12"/>
        <v>16.566274999999997</v>
      </c>
      <c r="I178">
        <v>41</v>
      </c>
      <c r="J178">
        <f t="shared" si="11"/>
        <v>679.21727499999986</v>
      </c>
      <c r="K178">
        <f t="shared" si="9"/>
        <v>679.21727499999986</v>
      </c>
    </row>
    <row r="179" spans="2:11" x14ac:dyDescent="0.25">
      <c r="B179" s="4">
        <v>45800</v>
      </c>
      <c r="C179" t="s">
        <v>60</v>
      </c>
      <c r="E179" t="s">
        <v>65</v>
      </c>
      <c r="F179">
        <v>286854</v>
      </c>
      <c r="G179" t="s">
        <v>85</v>
      </c>
      <c r="H179">
        <f t="shared" si="12"/>
        <v>57.075199999999988</v>
      </c>
      <c r="I179">
        <v>41</v>
      </c>
      <c r="J179">
        <f t="shared" si="11"/>
        <v>2340.0831999999996</v>
      </c>
      <c r="K179">
        <f t="shared" si="9"/>
        <v>2340.0831999999996</v>
      </c>
    </row>
    <row r="180" spans="2:11" x14ac:dyDescent="0.25">
      <c r="B180" s="4">
        <v>45800</v>
      </c>
      <c r="C180" t="s">
        <v>60</v>
      </c>
      <c r="E180" t="s">
        <v>27</v>
      </c>
      <c r="F180">
        <v>191449.55</v>
      </c>
      <c r="G180" t="s">
        <v>85</v>
      </c>
      <c r="H180">
        <f t="shared" si="12"/>
        <v>28.453864999999993</v>
      </c>
      <c r="I180">
        <v>41</v>
      </c>
      <c r="J180">
        <f t="shared" si="11"/>
        <v>1166.6084649999998</v>
      </c>
      <c r="K180">
        <f t="shared" si="9"/>
        <v>1166.6084649999998</v>
      </c>
    </row>
    <row r="181" spans="2:11" x14ac:dyDescent="0.25">
      <c r="B181" s="4">
        <v>45800</v>
      </c>
      <c r="C181" t="s">
        <v>60</v>
      </c>
      <c r="E181" t="s">
        <v>28</v>
      </c>
      <c r="F181">
        <v>258620.69</v>
      </c>
      <c r="G181" t="s">
        <v>85</v>
      </c>
      <c r="H181">
        <f t="shared" si="12"/>
        <v>48.605206999999986</v>
      </c>
      <c r="I181">
        <v>41</v>
      </c>
      <c r="J181">
        <f t="shared" si="11"/>
        <v>1992.8134869999994</v>
      </c>
      <c r="K181">
        <f t="shared" si="9"/>
        <v>1992.8134869999994</v>
      </c>
    </row>
    <row r="182" spans="2:11" x14ac:dyDescent="0.25">
      <c r="B182" s="4">
        <v>45800</v>
      </c>
      <c r="C182" t="s">
        <v>60</v>
      </c>
      <c r="E182" t="s">
        <v>29</v>
      </c>
      <c r="F182">
        <v>254533.02</v>
      </c>
      <c r="G182" t="s">
        <v>85</v>
      </c>
      <c r="H182">
        <f t="shared" si="12"/>
        <v>47.378905999999994</v>
      </c>
      <c r="I182">
        <v>41</v>
      </c>
      <c r="J182">
        <f t="shared" si="11"/>
        <v>1942.5351459999997</v>
      </c>
      <c r="K182">
        <f t="shared" si="9"/>
        <v>1942.5351459999997</v>
      </c>
    </row>
    <row r="183" spans="2:11" x14ac:dyDescent="0.25">
      <c r="B183" s="4">
        <v>45800</v>
      </c>
      <c r="C183" t="s">
        <v>60</v>
      </c>
      <c r="E183" t="s">
        <v>66</v>
      </c>
      <c r="F183">
        <v>200714.89</v>
      </c>
      <c r="G183" t="s">
        <v>85</v>
      </c>
      <c r="H183">
        <f t="shared" si="12"/>
        <v>31.233466999999997</v>
      </c>
      <c r="I183">
        <v>41</v>
      </c>
      <c r="J183">
        <f t="shared" si="11"/>
        <v>1280.5721469999999</v>
      </c>
      <c r="K183">
        <f t="shared" si="9"/>
        <v>1280.5721469999999</v>
      </c>
    </row>
    <row r="184" spans="2:11" x14ac:dyDescent="0.25">
      <c r="B184" s="4">
        <v>45800</v>
      </c>
      <c r="C184" t="s">
        <v>60</v>
      </c>
      <c r="D184" t="s">
        <v>67</v>
      </c>
      <c r="E184">
        <v>1</v>
      </c>
      <c r="F184">
        <v>183526.69</v>
      </c>
      <c r="G184" t="s">
        <v>85</v>
      </c>
      <c r="H184">
        <f t="shared" si="12"/>
        <v>26.077006999999995</v>
      </c>
      <c r="I184">
        <v>1</v>
      </c>
      <c r="J184">
        <f t="shared" si="11"/>
        <v>26.077006999999995</v>
      </c>
      <c r="K184">
        <f t="shared" si="9"/>
        <v>26.077006999999995</v>
      </c>
    </row>
    <row r="185" spans="2:11" x14ac:dyDescent="0.25">
      <c r="B185" s="4">
        <v>45800</v>
      </c>
      <c r="C185" t="s">
        <v>60</v>
      </c>
      <c r="D185" t="s">
        <v>67</v>
      </c>
      <c r="E185">
        <v>2</v>
      </c>
      <c r="F185">
        <v>295077.53000000003</v>
      </c>
      <c r="G185" t="s">
        <v>85</v>
      </c>
      <c r="H185">
        <f t="shared" si="12"/>
        <v>59.542258999999994</v>
      </c>
      <c r="I185">
        <v>1</v>
      </c>
      <c r="J185">
        <f t="shared" si="11"/>
        <v>59.542258999999994</v>
      </c>
      <c r="K185">
        <f t="shared" si="9"/>
        <v>59.542258999999994</v>
      </c>
    </row>
    <row r="186" spans="2:11" x14ac:dyDescent="0.25">
      <c r="B186" s="4">
        <v>45800</v>
      </c>
      <c r="C186" t="s">
        <v>60</v>
      </c>
      <c r="D186" t="s">
        <v>67</v>
      </c>
      <c r="E186">
        <v>3</v>
      </c>
      <c r="F186">
        <v>203657.02</v>
      </c>
      <c r="G186" t="s">
        <v>85</v>
      </c>
      <c r="H186">
        <f t="shared" si="12"/>
        <v>32.116105999999988</v>
      </c>
      <c r="I186">
        <v>1</v>
      </c>
      <c r="J186">
        <f t="shared" si="11"/>
        <v>32.116105999999988</v>
      </c>
      <c r="K186">
        <f t="shared" si="9"/>
        <v>32.116105999999988</v>
      </c>
    </row>
    <row r="187" spans="2:11" x14ac:dyDescent="0.25">
      <c r="B187" s="4">
        <v>45800</v>
      </c>
      <c r="C187" t="s">
        <v>68</v>
      </c>
      <c r="E187" t="s">
        <v>13</v>
      </c>
      <c r="F187">
        <v>244092.16</v>
      </c>
      <c r="G187" t="s">
        <v>85</v>
      </c>
      <c r="H187">
        <f t="shared" si="12"/>
        <v>44.246647999999986</v>
      </c>
      <c r="I187">
        <v>41</v>
      </c>
      <c r="J187">
        <f t="shared" si="11"/>
        <v>1814.1125679999993</v>
      </c>
      <c r="K187">
        <f t="shared" si="9"/>
        <v>1814.1125679999993</v>
      </c>
    </row>
    <row r="188" spans="2:11" x14ac:dyDescent="0.25">
      <c r="B188" s="4">
        <v>45800</v>
      </c>
      <c r="C188" t="s">
        <v>68</v>
      </c>
      <c r="E188" t="s">
        <v>14</v>
      </c>
      <c r="F188">
        <v>151687.14000000001</v>
      </c>
      <c r="G188" t="s">
        <v>85</v>
      </c>
      <c r="H188">
        <f t="shared" si="12"/>
        <v>16.525141999999995</v>
      </c>
      <c r="I188">
        <v>41</v>
      </c>
      <c r="J188">
        <f t="shared" si="11"/>
        <v>677.53082199999983</v>
      </c>
      <c r="K188">
        <f t="shared" si="9"/>
        <v>677.53082199999983</v>
      </c>
    </row>
    <row r="189" spans="2:11" x14ac:dyDescent="0.25">
      <c r="B189" s="4">
        <v>45800</v>
      </c>
      <c r="C189" t="s">
        <v>68</v>
      </c>
      <c r="E189" t="s">
        <v>15</v>
      </c>
      <c r="F189">
        <v>301384</v>
      </c>
      <c r="G189" t="s">
        <v>85</v>
      </c>
      <c r="H189">
        <f t="shared" si="12"/>
        <v>61.434199999999997</v>
      </c>
      <c r="I189">
        <v>41</v>
      </c>
      <c r="J189">
        <f t="shared" si="11"/>
        <v>2518.8022000000001</v>
      </c>
      <c r="K189">
        <f t="shared" si="9"/>
        <v>2518.8022000000001</v>
      </c>
    </row>
    <row r="190" spans="2:11" x14ac:dyDescent="0.25">
      <c r="B190" s="4">
        <v>45800</v>
      </c>
      <c r="C190" t="s">
        <v>68</v>
      </c>
      <c r="E190" t="s">
        <v>61</v>
      </c>
      <c r="F190">
        <v>211782.34</v>
      </c>
      <c r="G190" t="s">
        <v>85</v>
      </c>
      <c r="H190">
        <f t="shared" si="12"/>
        <v>34.553701999999994</v>
      </c>
      <c r="I190">
        <v>41</v>
      </c>
      <c r="J190">
        <f t="shared" si="11"/>
        <v>1416.7017819999999</v>
      </c>
      <c r="K190">
        <f t="shared" si="9"/>
        <v>1416.7017819999999</v>
      </c>
    </row>
    <row r="191" spans="2:11" x14ac:dyDescent="0.25">
      <c r="B191" s="4">
        <v>45800</v>
      </c>
      <c r="C191" t="s">
        <v>68</v>
      </c>
      <c r="E191" t="s">
        <v>16</v>
      </c>
      <c r="F191">
        <v>248630.52</v>
      </c>
      <c r="G191" t="s">
        <v>85</v>
      </c>
      <c r="H191">
        <f t="shared" si="12"/>
        <v>45.608155999999987</v>
      </c>
      <c r="I191">
        <v>41</v>
      </c>
      <c r="J191">
        <f t="shared" si="11"/>
        <v>1869.9343959999994</v>
      </c>
      <c r="K191">
        <f t="shared" si="9"/>
        <v>1869.9343959999994</v>
      </c>
    </row>
    <row r="192" spans="2:11" x14ac:dyDescent="0.25">
      <c r="B192" s="4">
        <v>45800</v>
      </c>
      <c r="C192" t="s">
        <v>68</v>
      </c>
      <c r="E192" t="s">
        <v>17</v>
      </c>
      <c r="F192">
        <v>200045.94</v>
      </c>
      <c r="G192" t="s">
        <v>85</v>
      </c>
      <c r="H192">
        <f t="shared" si="12"/>
        <v>31.03278199999999</v>
      </c>
      <c r="I192">
        <v>41</v>
      </c>
      <c r="J192">
        <f t="shared" si="11"/>
        <v>1272.3440619999997</v>
      </c>
      <c r="K192">
        <f t="shared" si="9"/>
        <v>1272.3440619999997</v>
      </c>
    </row>
    <row r="193" spans="1:11" x14ac:dyDescent="0.25">
      <c r="B193" s="4">
        <v>45800</v>
      </c>
      <c r="C193" t="s">
        <v>68</v>
      </c>
      <c r="E193" t="s">
        <v>12</v>
      </c>
      <c r="F193">
        <v>212986.25</v>
      </c>
      <c r="G193" t="s">
        <v>85</v>
      </c>
      <c r="H193">
        <f t="shared" si="12"/>
        <v>34.914874999999995</v>
      </c>
      <c r="I193">
        <v>41</v>
      </c>
      <c r="J193">
        <f t="shared" si="11"/>
        <v>1431.5098749999997</v>
      </c>
      <c r="K193">
        <f t="shared" si="9"/>
        <v>1431.5098749999997</v>
      </c>
    </row>
    <row r="194" spans="1:11" x14ac:dyDescent="0.25">
      <c r="B194" s="4">
        <v>45800</v>
      </c>
      <c r="C194" t="s">
        <v>68</v>
      </c>
      <c r="E194" t="s">
        <v>62</v>
      </c>
      <c r="F194">
        <v>443787.38</v>
      </c>
      <c r="G194" t="s">
        <v>85</v>
      </c>
      <c r="H194">
        <f t="shared" si="12"/>
        <v>104.155214</v>
      </c>
      <c r="I194">
        <v>41</v>
      </c>
      <c r="J194">
        <f t="shared" si="11"/>
        <v>4270.3637740000004</v>
      </c>
      <c r="K194">
        <f t="shared" si="9"/>
        <v>4270.3637740000004</v>
      </c>
    </row>
    <row r="195" spans="1:11" x14ac:dyDescent="0.25">
      <c r="A195" s="3"/>
      <c r="B195" s="5">
        <v>45800</v>
      </c>
      <c r="C195" s="3" t="s">
        <v>68</v>
      </c>
      <c r="D195" s="3"/>
      <c r="E195" s="3" t="s">
        <v>18</v>
      </c>
      <c r="F195" s="3" t="s">
        <v>69</v>
      </c>
      <c r="G195" t="s">
        <v>85</v>
      </c>
      <c r="H195" t="e">
        <f t="shared" si="12"/>
        <v>#VALUE!</v>
      </c>
      <c r="I195">
        <v>41</v>
      </c>
      <c r="J195" t="e">
        <f t="shared" si="11"/>
        <v>#VALUE!</v>
      </c>
      <c r="K195" t="e">
        <f t="shared" ref="K195:K258" si="13">MAX(J195,0)</f>
        <v>#VALUE!</v>
      </c>
    </row>
    <row r="196" spans="1:11" x14ac:dyDescent="0.25">
      <c r="B196" s="4">
        <v>45800</v>
      </c>
      <c r="C196" t="s">
        <v>68</v>
      </c>
      <c r="E196" t="s">
        <v>19</v>
      </c>
      <c r="F196">
        <v>380190.06</v>
      </c>
      <c r="G196" t="s">
        <v>85</v>
      </c>
      <c r="H196">
        <f t="shared" si="12"/>
        <v>85.076017999999976</v>
      </c>
      <c r="I196">
        <v>41</v>
      </c>
      <c r="J196">
        <f t="shared" si="11"/>
        <v>3488.1167379999988</v>
      </c>
      <c r="K196">
        <f t="shared" si="13"/>
        <v>3488.1167379999988</v>
      </c>
    </row>
    <row r="197" spans="1:11" x14ac:dyDescent="0.25">
      <c r="B197" s="4">
        <v>45800</v>
      </c>
      <c r="C197" t="s">
        <v>68</v>
      </c>
      <c r="E197" t="s">
        <v>20</v>
      </c>
      <c r="F197">
        <v>173058.14</v>
      </c>
      <c r="G197" t="s">
        <v>85</v>
      </c>
      <c r="H197">
        <f t="shared" si="12"/>
        <v>22.936442</v>
      </c>
      <c r="I197">
        <v>41</v>
      </c>
      <c r="J197">
        <f t="shared" si="11"/>
        <v>940.39412199999992</v>
      </c>
      <c r="K197">
        <f t="shared" si="13"/>
        <v>940.39412199999992</v>
      </c>
    </row>
    <row r="198" spans="1:11" x14ac:dyDescent="0.25">
      <c r="B198" s="4">
        <v>45800</v>
      </c>
      <c r="C198" t="s">
        <v>68</v>
      </c>
      <c r="E198" t="s">
        <v>63</v>
      </c>
      <c r="F198">
        <v>281098.28000000003</v>
      </c>
      <c r="G198" t="s">
        <v>85</v>
      </c>
      <c r="H198">
        <f t="shared" si="12"/>
        <v>55.348484000000006</v>
      </c>
      <c r="I198">
        <v>41</v>
      </c>
      <c r="J198">
        <f t="shared" si="11"/>
        <v>2269.2878440000004</v>
      </c>
      <c r="K198">
        <f t="shared" si="13"/>
        <v>2269.2878440000004</v>
      </c>
    </row>
    <row r="199" spans="1:11" x14ac:dyDescent="0.25">
      <c r="B199" s="4">
        <v>45800</v>
      </c>
      <c r="C199" t="s">
        <v>68</v>
      </c>
      <c r="E199" t="s">
        <v>21</v>
      </c>
      <c r="F199">
        <v>217755.97</v>
      </c>
      <c r="G199" t="s">
        <v>85</v>
      </c>
      <c r="H199">
        <f t="shared" si="12"/>
        <v>36.345790999999998</v>
      </c>
      <c r="I199">
        <v>41</v>
      </c>
      <c r="J199">
        <f t="shared" si="11"/>
        <v>1490.1774309999998</v>
      </c>
      <c r="K199">
        <f t="shared" si="13"/>
        <v>1490.1774309999998</v>
      </c>
    </row>
    <row r="200" spans="1:11" x14ac:dyDescent="0.25">
      <c r="B200" s="4">
        <v>45800</v>
      </c>
      <c r="C200" t="s">
        <v>68</v>
      </c>
      <c r="E200" t="s">
        <v>22</v>
      </c>
      <c r="F200">
        <v>198748.53</v>
      </c>
      <c r="G200" t="s">
        <v>85</v>
      </c>
      <c r="H200">
        <f t="shared" si="12"/>
        <v>30.643558999999996</v>
      </c>
      <c r="I200">
        <v>41</v>
      </c>
      <c r="J200">
        <f t="shared" si="11"/>
        <v>1256.3859189999998</v>
      </c>
      <c r="K200">
        <f t="shared" si="13"/>
        <v>1256.3859189999998</v>
      </c>
    </row>
    <row r="201" spans="1:11" x14ac:dyDescent="0.25">
      <c r="B201" s="4">
        <v>45800</v>
      </c>
      <c r="C201" t="s">
        <v>68</v>
      </c>
      <c r="E201" t="s">
        <v>23</v>
      </c>
      <c r="F201">
        <v>182231.55</v>
      </c>
      <c r="G201" t="s">
        <v>85</v>
      </c>
      <c r="H201">
        <f t="shared" si="12"/>
        <v>25.688464999999987</v>
      </c>
      <c r="I201">
        <v>41</v>
      </c>
      <c r="J201">
        <f t="shared" si="11"/>
        <v>1053.2270649999994</v>
      </c>
      <c r="K201">
        <f t="shared" si="13"/>
        <v>1053.2270649999994</v>
      </c>
    </row>
    <row r="202" spans="1:11" x14ac:dyDescent="0.25">
      <c r="B202" s="4">
        <v>45800</v>
      </c>
      <c r="C202" t="s">
        <v>68</v>
      </c>
      <c r="E202" t="s">
        <v>64</v>
      </c>
      <c r="F202">
        <v>305159.71999999997</v>
      </c>
      <c r="G202" t="s">
        <v>85</v>
      </c>
      <c r="H202">
        <f t="shared" si="12"/>
        <v>62.566915999999985</v>
      </c>
      <c r="I202">
        <v>41</v>
      </c>
      <c r="J202">
        <f t="shared" si="11"/>
        <v>2565.2435559999994</v>
      </c>
      <c r="K202">
        <f t="shared" si="13"/>
        <v>2565.2435559999994</v>
      </c>
    </row>
    <row r="203" spans="1:11" x14ac:dyDescent="0.25">
      <c r="B203" s="4">
        <v>45800</v>
      </c>
      <c r="C203" t="s">
        <v>68</v>
      </c>
      <c r="E203" t="s">
        <v>24</v>
      </c>
      <c r="F203">
        <v>340397.47</v>
      </c>
      <c r="G203" t="s">
        <v>85</v>
      </c>
      <c r="H203">
        <f t="shared" si="12"/>
        <v>73.138240999999994</v>
      </c>
      <c r="I203">
        <v>41</v>
      </c>
      <c r="J203">
        <f t="shared" si="11"/>
        <v>2998.6678809999999</v>
      </c>
      <c r="K203">
        <f t="shared" si="13"/>
        <v>2998.6678809999999</v>
      </c>
    </row>
    <row r="204" spans="1:11" x14ac:dyDescent="0.25">
      <c r="B204" s="4">
        <v>45800</v>
      </c>
      <c r="C204" t="s">
        <v>68</v>
      </c>
      <c r="E204" t="s">
        <v>25</v>
      </c>
      <c r="F204">
        <v>318334.12</v>
      </c>
      <c r="G204" t="s">
        <v>85</v>
      </c>
      <c r="H204">
        <f t="shared" si="12"/>
        <v>66.519235999999978</v>
      </c>
      <c r="I204">
        <v>41</v>
      </c>
      <c r="J204">
        <f t="shared" si="11"/>
        <v>2727.2886759999992</v>
      </c>
      <c r="K204">
        <f t="shared" si="13"/>
        <v>2727.2886759999992</v>
      </c>
    </row>
    <row r="205" spans="1:11" x14ac:dyDescent="0.25">
      <c r="B205" s="4">
        <v>45800</v>
      </c>
      <c r="C205" t="s">
        <v>68</v>
      </c>
      <c r="E205" t="s">
        <v>26</v>
      </c>
      <c r="F205">
        <v>223338.59</v>
      </c>
      <c r="G205" t="s">
        <v>85</v>
      </c>
      <c r="H205">
        <f t="shared" si="12"/>
        <v>38.020576999999996</v>
      </c>
      <c r="I205">
        <v>41</v>
      </c>
      <c r="J205">
        <f t="shared" si="11"/>
        <v>1558.8436569999999</v>
      </c>
      <c r="K205">
        <f t="shared" si="13"/>
        <v>1558.8436569999999</v>
      </c>
    </row>
    <row r="206" spans="1:11" x14ac:dyDescent="0.25">
      <c r="B206" s="4">
        <v>45800</v>
      </c>
      <c r="C206" t="s">
        <v>68</v>
      </c>
      <c r="E206" t="s">
        <v>65</v>
      </c>
      <c r="F206">
        <v>169172.7</v>
      </c>
      <c r="G206" t="s">
        <v>85</v>
      </c>
      <c r="H206">
        <f t="shared" si="12"/>
        <v>21.770809999999997</v>
      </c>
      <c r="I206">
        <v>41</v>
      </c>
      <c r="J206">
        <f t="shared" si="11"/>
        <v>892.60320999999988</v>
      </c>
      <c r="K206">
        <f t="shared" si="13"/>
        <v>892.60320999999988</v>
      </c>
    </row>
    <row r="207" spans="1:11" x14ac:dyDescent="0.25">
      <c r="B207" s="4">
        <v>45800</v>
      </c>
      <c r="C207" t="s">
        <v>68</v>
      </c>
      <c r="E207" t="s">
        <v>27</v>
      </c>
      <c r="F207">
        <v>159923.25</v>
      </c>
      <c r="G207" t="s">
        <v>85</v>
      </c>
      <c r="H207">
        <f t="shared" si="12"/>
        <v>18.995974999999994</v>
      </c>
      <c r="I207">
        <v>41</v>
      </c>
      <c r="J207">
        <f t="shared" si="11"/>
        <v>778.83497499999976</v>
      </c>
      <c r="K207">
        <f t="shared" si="13"/>
        <v>778.83497499999976</v>
      </c>
    </row>
    <row r="208" spans="1:11" x14ac:dyDescent="0.25">
      <c r="B208" s="4">
        <v>45800</v>
      </c>
      <c r="C208" t="s">
        <v>68</v>
      </c>
      <c r="E208" t="s">
        <v>28</v>
      </c>
      <c r="F208">
        <v>225574.08</v>
      </c>
      <c r="G208" t="s">
        <v>85</v>
      </c>
      <c r="H208">
        <f t="shared" si="12"/>
        <v>38.691223999999984</v>
      </c>
      <c r="I208">
        <v>41</v>
      </c>
      <c r="J208">
        <f t="shared" si="11"/>
        <v>1586.3401839999995</v>
      </c>
      <c r="K208">
        <f t="shared" si="13"/>
        <v>1586.3401839999995</v>
      </c>
    </row>
    <row r="209" spans="2:11" x14ac:dyDescent="0.25">
      <c r="B209" s="4">
        <v>45800</v>
      </c>
      <c r="C209" t="s">
        <v>68</v>
      </c>
      <c r="E209" t="s">
        <v>29</v>
      </c>
      <c r="F209">
        <v>215533.27</v>
      </c>
      <c r="G209" t="s">
        <v>85</v>
      </c>
      <c r="H209">
        <f t="shared" si="12"/>
        <v>35.678980999999986</v>
      </c>
      <c r="I209">
        <v>41</v>
      </c>
      <c r="J209">
        <f t="shared" si="11"/>
        <v>1462.8382209999995</v>
      </c>
      <c r="K209">
        <f t="shared" si="13"/>
        <v>1462.8382209999995</v>
      </c>
    </row>
    <row r="210" spans="2:11" x14ac:dyDescent="0.25">
      <c r="B210" s="4">
        <v>45800</v>
      </c>
      <c r="C210" t="s">
        <v>68</v>
      </c>
      <c r="E210" t="s">
        <v>66</v>
      </c>
      <c r="F210">
        <v>360420.81</v>
      </c>
      <c r="G210" t="s">
        <v>85</v>
      </c>
      <c r="H210">
        <f t="shared" si="12"/>
        <v>79.145242999999994</v>
      </c>
      <c r="I210">
        <v>41</v>
      </c>
      <c r="J210">
        <f t="shared" si="11"/>
        <v>3244.9549629999997</v>
      </c>
      <c r="K210">
        <f t="shared" si="13"/>
        <v>3244.9549629999997</v>
      </c>
    </row>
    <row r="211" spans="2:11" x14ac:dyDescent="0.25">
      <c r="B211" s="4">
        <v>45800</v>
      </c>
      <c r="C211" t="s">
        <v>68</v>
      </c>
      <c r="D211" t="s">
        <v>67</v>
      </c>
      <c r="E211">
        <v>1</v>
      </c>
      <c r="F211">
        <v>473568.44</v>
      </c>
      <c r="G211" t="s">
        <v>85</v>
      </c>
      <c r="H211">
        <f t="shared" si="12"/>
        <v>113.08953199999999</v>
      </c>
      <c r="I211">
        <v>1</v>
      </c>
      <c r="J211">
        <f t="shared" si="11"/>
        <v>113.08953199999999</v>
      </c>
      <c r="K211">
        <f t="shared" si="13"/>
        <v>113.08953199999999</v>
      </c>
    </row>
    <row r="212" spans="2:11" x14ac:dyDescent="0.25">
      <c r="B212" s="4">
        <v>45800</v>
      </c>
      <c r="C212" t="s">
        <v>68</v>
      </c>
      <c r="D212" t="s">
        <v>67</v>
      </c>
      <c r="E212">
        <v>2</v>
      </c>
      <c r="F212">
        <v>230749.02</v>
      </c>
      <c r="G212" t="s">
        <v>85</v>
      </c>
      <c r="H212">
        <f t="shared" si="12"/>
        <v>40.243705999999996</v>
      </c>
      <c r="I212">
        <v>1</v>
      </c>
      <c r="J212">
        <f t="shared" si="11"/>
        <v>40.243705999999996</v>
      </c>
      <c r="K212">
        <f t="shared" si="13"/>
        <v>40.243705999999996</v>
      </c>
    </row>
    <row r="213" spans="2:11" x14ac:dyDescent="0.25">
      <c r="B213" s="4">
        <v>45800</v>
      </c>
      <c r="C213" t="s">
        <v>68</v>
      </c>
      <c r="D213" t="s">
        <v>67</v>
      </c>
      <c r="E213">
        <v>3</v>
      </c>
      <c r="F213">
        <v>273071.75</v>
      </c>
      <c r="G213" t="s">
        <v>85</v>
      </c>
      <c r="H213">
        <f t="shared" si="12"/>
        <v>52.940524999999987</v>
      </c>
      <c r="I213">
        <v>1</v>
      </c>
      <c r="J213">
        <f t="shared" si="11"/>
        <v>52.940524999999987</v>
      </c>
      <c r="K213">
        <f t="shared" si="13"/>
        <v>52.940524999999987</v>
      </c>
    </row>
    <row r="214" spans="2:11" x14ac:dyDescent="0.25">
      <c r="B214" s="4">
        <v>45800</v>
      </c>
      <c r="C214" t="s">
        <v>34</v>
      </c>
      <c r="E214" t="s">
        <v>13</v>
      </c>
      <c r="F214">
        <v>222553.7</v>
      </c>
      <c r="G214" t="s">
        <v>85</v>
      </c>
      <c r="H214">
        <f t="shared" si="12"/>
        <v>37.785109999999996</v>
      </c>
      <c r="I214">
        <v>41</v>
      </c>
      <c r="J214">
        <f t="shared" si="11"/>
        <v>1549.1895099999999</v>
      </c>
      <c r="K214">
        <f t="shared" si="13"/>
        <v>1549.1895099999999</v>
      </c>
    </row>
    <row r="215" spans="2:11" x14ac:dyDescent="0.25">
      <c r="B215" s="4">
        <v>45800</v>
      </c>
      <c r="C215" t="s">
        <v>34</v>
      </c>
      <c r="E215" t="s">
        <v>14</v>
      </c>
      <c r="F215">
        <v>142878.22</v>
      </c>
      <c r="G215" t="s">
        <v>85</v>
      </c>
      <c r="H215">
        <f t="shared" si="12"/>
        <v>13.882465999999994</v>
      </c>
      <c r="I215">
        <v>41</v>
      </c>
      <c r="J215">
        <f t="shared" si="11"/>
        <v>569.18110599999977</v>
      </c>
      <c r="K215">
        <f t="shared" si="13"/>
        <v>569.18110599999977</v>
      </c>
    </row>
    <row r="216" spans="2:11" x14ac:dyDescent="0.25">
      <c r="B216" s="4">
        <v>45800</v>
      </c>
      <c r="C216" t="s">
        <v>34</v>
      </c>
      <c r="E216" t="s">
        <v>15</v>
      </c>
      <c r="F216">
        <v>235553.56</v>
      </c>
      <c r="G216" t="s">
        <v>85</v>
      </c>
      <c r="H216">
        <f t="shared" si="12"/>
        <v>41.685067999999994</v>
      </c>
      <c r="I216">
        <v>41</v>
      </c>
      <c r="J216">
        <f t="shared" si="11"/>
        <v>1709.0877879999998</v>
      </c>
      <c r="K216">
        <f t="shared" si="13"/>
        <v>1709.0877879999998</v>
      </c>
    </row>
    <row r="217" spans="2:11" x14ac:dyDescent="0.25">
      <c r="B217" s="4">
        <v>45800</v>
      </c>
      <c r="C217" t="s">
        <v>34</v>
      </c>
      <c r="E217" t="s">
        <v>61</v>
      </c>
      <c r="F217">
        <v>144511.98000000001</v>
      </c>
      <c r="G217" t="s">
        <v>85</v>
      </c>
      <c r="H217">
        <f t="shared" si="12"/>
        <v>14.372593999999999</v>
      </c>
      <c r="I217">
        <v>41</v>
      </c>
      <c r="J217">
        <f t="shared" si="11"/>
        <v>589.27635399999997</v>
      </c>
      <c r="K217">
        <f t="shared" si="13"/>
        <v>589.27635399999997</v>
      </c>
    </row>
    <row r="218" spans="2:11" x14ac:dyDescent="0.25">
      <c r="B218" s="4">
        <v>45800</v>
      </c>
      <c r="C218" t="s">
        <v>34</v>
      </c>
      <c r="E218" t="s">
        <v>16</v>
      </c>
      <c r="F218">
        <v>153749.81</v>
      </c>
      <c r="G218" t="s">
        <v>85</v>
      </c>
      <c r="H218">
        <f t="shared" si="12"/>
        <v>17.143942999999993</v>
      </c>
      <c r="I218">
        <v>41</v>
      </c>
      <c r="J218">
        <f t="shared" si="11"/>
        <v>702.90166299999976</v>
      </c>
      <c r="K218">
        <f t="shared" si="13"/>
        <v>702.90166299999976</v>
      </c>
    </row>
    <row r="219" spans="2:11" x14ac:dyDescent="0.25">
      <c r="B219" s="4">
        <v>45800</v>
      </c>
      <c r="C219" t="s">
        <v>34</v>
      </c>
      <c r="E219" t="s">
        <v>17</v>
      </c>
      <c r="F219">
        <v>235165.34</v>
      </c>
      <c r="G219" t="s">
        <v>85</v>
      </c>
      <c r="H219">
        <f t="shared" si="12"/>
        <v>41.568601999999991</v>
      </c>
      <c r="I219">
        <v>41</v>
      </c>
      <c r="J219">
        <f t="shared" si="11"/>
        <v>1704.3126819999995</v>
      </c>
      <c r="K219">
        <f t="shared" si="13"/>
        <v>1704.3126819999995</v>
      </c>
    </row>
    <row r="220" spans="2:11" x14ac:dyDescent="0.25">
      <c r="B220" s="4">
        <v>45800</v>
      </c>
      <c r="C220" t="s">
        <v>34</v>
      </c>
      <c r="E220" t="s">
        <v>12</v>
      </c>
      <c r="F220">
        <v>212955.62</v>
      </c>
      <c r="G220" t="s">
        <v>85</v>
      </c>
      <c r="H220">
        <f t="shared" si="12"/>
        <v>34.905685999999989</v>
      </c>
      <c r="I220">
        <v>41</v>
      </c>
      <c r="J220">
        <f t="shared" si="11"/>
        <v>1431.1331259999995</v>
      </c>
      <c r="K220">
        <f t="shared" si="13"/>
        <v>1431.1331259999995</v>
      </c>
    </row>
    <row r="221" spans="2:11" x14ac:dyDescent="0.25">
      <c r="B221" s="4">
        <v>45800</v>
      </c>
      <c r="C221" t="s">
        <v>34</v>
      </c>
      <c r="E221" t="s">
        <v>62</v>
      </c>
      <c r="F221">
        <v>202682.73</v>
      </c>
      <c r="G221" t="s">
        <v>85</v>
      </c>
      <c r="H221">
        <f t="shared" si="12"/>
        <v>31.823818999999993</v>
      </c>
      <c r="I221">
        <v>41</v>
      </c>
      <c r="J221">
        <f t="shared" si="11"/>
        <v>1304.7765789999996</v>
      </c>
      <c r="K221">
        <f t="shared" si="13"/>
        <v>1304.7765789999996</v>
      </c>
    </row>
    <row r="222" spans="2:11" x14ac:dyDescent="0.25">
      <c r="B222" s="4">
        <v>45800</v>
      </c>
      <c r="C222" t="s">
        <v>34</v>
      </c>
      <c r="E222" t="s">
        <v>18</v>
      </c>
      <c r="F222">
        <v>242193.17</v>
      </c>
      <c r="G222" t="s">
        <v>85</v>
      </c>
      <c r="H222">
        <f t="shared" si="12"/>
        <v>43.676950999999995</v>
      </c>
      <c r="I222">
        <v>41</v>
      </c>
      <c r="J222">
        <f t="shared" si="11"/>
        <v>1790.7549909999998</v>
      </c>
      <c r="K222">
        <f t="shared" si="13"/>
        <v>1790.7549909999998</v>
      </c>
    </row>
    <row r="223" spans="2:11" x14ac:dyDescent="0.25">
      <c r="B223" s="4">
        <v>45800</v>
      </c>
      <c r="C223" t="s">
        <v>34</v>
      </c>
      <c r="E223" t="s">
        <v>19</v>
      </c>
      <c r="F223">
        <v>197203.20000000001</v>
      </c>
      <c r="G223" t="s">
        <v>85</v>
      </c>
      <c r="H223">
        <f t="shared" si="12"/>
        <v>30.179959999999994</v>
      </c>
      <c r="I223">
        <v>41</v>
      </c>
      <c r="J223">
        <f t="shared" si="11"/>
        <v>1237.3783599999997</v>
      </c>
      <c r="K223">
        <f t="shared" si="13"/>
        <v>1237.3783599999997</v>
      </c>
    </row>
    <row r="224" spans="2:11" x14ac:dyDescent="0.25">
      <c r="B224" s="4">
        <v>45800</v>
      </c>
      <c r="C224" t="s">
        <v>34</v>
      </c>
      <c r="E224" t="s">
        <v>20</v>
      </c>
      <c r="F224">
        <v>338742.09</v>
      </c>
      <c r="G224" t="s">
        <v>85</v>
      </c>
      <c r="H224">
        <f t="shared" si="12"/>
        <v>72.641627</v>
      </c>
      <c r="I224">
        <v>41</v>
      </c>
      <c r="J224">
        <f t="shared" ref="J224:J287" si="14">H224*I224</f>
        <v>2978.3067070000002</v>
      </c>
      <c r="K224">
        <f t="shared" si="13"/>
        <v>2978.3067070000002</v>
      </c>
    </row>
    <row r="225" spans="2:11" x14ac:dyDescent="0.25">
      <c r="B225" s="4">
        <v>45800</v>
      </c>
      <c r="C225" t="s">
        <v>34</v>
      </c>
      <c r="E225" t="s">
        <v>63</v>
      </c>
      <c r="F225">
        <v>210528.55</v>
      </c>
      <c r="G225" t="s">
        <v>85</v>
      </c>
      <c r="H225">
        <f t="shared" si="12"/>
        <v>34.177564999999987</v>
      </c>
      <c r="I225">
        <v>41</v>
      </c>
      <c r="J225">
        <f t="shared" si="14"/>
        <v>1401.2801649999994</v>
      </c>
      <c r="K225">
        <f t="shared" si="13"/>
        <v>1401.2801649999994</v>
      </c>
    </row>
    <row r="226" spans="2:11" x14ac:dyDescent="0.25">
      <c r="B226" s="4">
        <v>45800</v>
      </c>
      <c r="C226" t="s">
        <v>34</v>
      </c>
      <c r="E226" t="s">
        <v>21</v>
      </c>
      <c r="F226">
        <v>215670.5</v>
      </c>
      <c r="G226" t="s">
        <v>85</v>
      </c>
      <c r="H226">
        <f t="shared" ref="H226:H289" si="15">(0.0003*F226)-28.981</f>
        <v>35.720149999999997</v>
      </c>
      <c r="I226">
        <v>41</v>
      </c>
      <c r="J226">
        <f t="shared" si="14"/>
        <v>1464.5261499999999</v>
      </c>
      <c r="K226">
        <f t="shared" si="13"/>
        <v>1464.5261499999999</v>
      </c>
    </row>
    <row r="227" spans="2:11" x14ac:dyDescent="0.25">
      <c r="B227" s="4">
        <v>45800</v>
      </c>
      <c r="C227" t="s">
        <v>34</v>
      </c>
      <c r="E227" t="s">
        <v>22</v>
      </c>
      <c r="F227">
        <v>145944.19</v>
      </c>
      <c r="G227" t="s">
        <v>85</v>
      </c>
      <c r="H227">
        <f t="shared" si="15"/>
        <v>14.802256999999997</v>
      </c>
      <c r="I227">
        <v>41</v>
      </c>
      <c r="J227">
        <f t="shared" si="14"/>
        <v>606.89253699999995</v>
      </c>
      <c r="K227">
        <f t="shared" si="13"/>
        <v>606.89253699999995</v>
      </c>
    </row>
    <row r="228" spans="2:11" x14ac:dyDescent="0.25">
      <c r="B228" s="4">
        <v>45800</v>
      </c>
      <c r="C228" t="s">
        <v>34</v>
      </c>
      <c r="E228" t="s">
        <v>23</v>
      </c>
      <c r="F228">
        <v>292961.15999999997</v>
      </c>
      <c r="G228" t="s">
        <v>85</v>
      </c>
      <c r="H228">
        <f t="shared" si="15"/>
        <v>58.907347999999978</v>
      </c>
      <c r="I228">
        <v>41</v>
      </c>
      <c r="J228">
        <f t="shared" si="14"/>
        <v>2415.2012679999989</v>
      </c>
      <c r="K228">
        <f t="shared" si="13"/>
        <v>2415.2012679999989</v>
      </c>
    </row>
    <row r="229" spans="2:11" x14ac:dyDescent="0.25">
      <c r="B229" s="4">
        <v>45800</v>
      </c>
      <c r="C229" t="s">
        <v>34</v>
      </c>
      <c r="E229" t="s">
        <v>64</v>
      </c>
      <c r="F229">
        <v>250826.48</v>
      </c>
      <c r="G229" t="s">
        <v>85</v>
      </c>
      <c r="H229">
        <f t="shared" si="15"/>
        <v>46.266943999999988</v>
      </c>
      <c r="I229">
        <v>41</v>
      </c>
      <c r="J229">
        <f t="shared" si="14"/>
        <v>1896.9447039999995</v>
      </c>
      <c r="K229">
        <f t="shared" si="13"/>
        <v>1896.9447039999995</v>
      </c>
    </row>
    <row r="230" spans="2:11" x14ac:dyDescent="0.25">
      <c r="B230" s="4">
        <v>45800</v>
      </c>
      <c r="C230" t="s">
        <v>34</v>
      </c>
      <c r="E230" t="s">
        <v>24</v>
      </c>
      <c r="F230">
        <v>345827.44</v>
      </c>
      <c r="G230" t="s">
        <v>85</v>
      </c>
      <c r="H230">
        <f t="shared" si="15"/>
        <v>74.767231999999979</v>
      </c>
      <c r="I230">
        <v>41</v>
      </c>
      <c r="J230">
        <f t="shared" si="14"/>
        <v>3065.4565119999993</v>
      </c>
      <c r="K230">
        <f t="shared" si="13"/>
        <v>3065.4565119999993</v>
      </c>
    </row>
    <row r="231" spans="2:11" x14ac:dyDescent="0.25">
      <c r="B231" s="4">
        <v>45800</v>
      </c>
      <c r="C231" t="s">
        <v>34</v>
      </c>
      <c r="E231" t="s">
        <v>25</v>
      </c>
      <c r="F231">
        <v>254119.42</v>
      </c>
      <c r="G231" t="s">
        <v>85</v>
      </c>
      <c r="H231">
        <f t="shared" si="15"/>
        <v>47.254826000000001</v>
      </c>
      <c r="I231">
        <v>41</v>
      </c>
      <c r="J231">
        <f t="shared" si="14"/>
        <v>1937.447866</v>
      </c>
      <c r="K231">
        <f t="shared" si="13"/>
        <v>1937.447866</v>
      </c>
    </row>
    <row r="232" spans="2:11" x14ac:dyDescent="0.25">
      <c r="B232" s="4">
        <v>45800</v>
      </c>
      <c r="C232" t="s">
        <v>34</v>
      </c>
      <c r="E232" t="s">
        <v>26</v>
      </c>
      <c r="F232">
        <v>373682.38</v>
      </c>
      <c r="G232" t="s">
        <v>85</v>
      </c>
      <c r="H232">
        <f t="shared" si="15"/>
        <v>83.123713999999978</v>
      </c>
      <c r="I232">
        <v>41</v>
      </c>
      <c r="J232">
        <f t="shared" si="14"/>
        <v>3408.0722739999992</v>
      </c>
      <c r="K232">
        <f t="shared" si="13"/>
        <v>3408.0722739999992</v>
      </c>
    </row>
    <row r="233" spans="2:11" x14ac:dyDescent="0.25">
      <c r="B233" s="4">
        <v>45800</v>
      </c>
      <c r="C233" t="s">
        <v>34</v>
      </c>
      <c r="E233" t="s">
        <v>65</v>
      </c>
      <c r="F233">
        <v>194311.38</v>
      </c>
      <c r="G233" t="s">
        <v>85</v>
      </c>
      <c r="H233">
        <f t="shared" si="15"/>
        <v>29.312413999999997</v>
      </c>
      <c r="I233">
        <v>41</v>
      </c>
      <c r="J233">
        <f t="shared" si="14"/>
        <v>1201.8089739999998</v>
      </c>
      <c r="K233">
        <f t="shared" si="13"/>
        <v>1201.8089739999998</v>
      </c>
    </row>
    <row r="234" spans="2:11" x14ac:dyDescent="0.25">
      <c r="B234" s="4">
        <v>45800</v>
      </c>
      <c r="C234" t="s">
        <v>34</v>
      </c>
      <c r="E234" t="s">
        <v>27</v>
      </c>
      <c r="F234">
        <v>214727.11</v>
      </c>
      <c r="G234" t="s">
        <v>85</v>
      </c>
      <c r="H234">
        <f t="shared" si="15"/>
        <v>35.437132999999982</v>
      </c>
      <c r="I234">
        <v>41</v>
      </c>
      <c r="J234">
        <f t="shared" si="14"/>
        <v>1452.9224529999992</v>
      </c>
      <c r="K234">
        <f t="shared" si="13"/>
        <v>1452.9224529999992</v>
      </c>
    </row>
    <row r="235" spans="2:11" x14ac:dyDescent="0.25">
      <c r="B235" s="4">
        <v>45800</v>
      </c>
      <c r="C235" t="s">
        <v>34</v>
      </c>
      <c r="E235" t="s">
        <v>28</v>
      </c>
      <c r="F235">
        <v>188856.25</v>
      </c>
      <c r="G235" t="s">
        <v>85</v>
      </c>
      <c r="H235">
        <f t="shared" si="15"/>
        <v>27.675874999999991</v>
      </c>
      <c r="I235">
        <v>41</v>
      </c>
      <c r="J235">
        <f t="shared" si="14"/>
        <v>1134.7108749999995</v>
      </c>
      <c r="K235">
        <f t="shared" si="13"/>
        <v>1134.7108749999995</v>
      </c>
    </row>
    <row r="236" spans="2:11" x14ac:dyDescent="0.25">
      <c r="B236" s="4">
        <v>45800</v>
      </c>
      <c r="C236" t="s">
        <v>34</v>
      </c>
      <c r="E236" t="s">
        <v>29</v>
      </c>
      <c r="F236">
        <v>202748.97</v>
      </c>
      <c r="G236" t="s">
        <v>85</v>
      </c>
      <c r="H236">
        <f t="shared" si="15"/>
        <v>31.843690999999993</v>
      </c>
      <c r="I236">
        <v>41</v>
      </c>
      <c r="J236">
        <f t="shared" si="14"/>
        <v>1305.5913309999996</v>
      </c>
      <c r="K236">
        <f t="shared" si="13"/>
        <v>1305.5913309999996</v>
      </c>
    </row>
    <row r="237" spans="2:11" x14ac:dyDescent="0.25">
      <c r="B237" s="4">
        <v>45800</v>
      </c>
      <c r="C237" t="s">
        <v>34</v>
      </c>
      <c r="E237" t="s">
        <v>66</v>
      </c>
      <c r="F237">
        <v>1151747.69</v>
      </c>
      <c r="G237" t="s">
        <v>85</v>
      </c>
      <c r="H237">
        <f t="shared" si="15"/>
        <v>316.54330699999997</v>
      </c>
      <c r="I237">
        <v>41</v>
      </c>
      <c r="J237">
        <f t="shared" si="14"/>
        <v>12978.275586999998</v>
      </c>
      <c r="K237">
        <f t="shared" si="13"/>
        <v>12978.275586999998</v>
      </c>
    </row>
    <row r="238" spans="2:11" x14ac:dyDescent="0.25">
      <c r="B238" s="4">
        <v>45800</v>
      </c>
      <c r="C238" t="s">
        <v>34</v>
      </c>
      <c r="D238" t="s">
        <v>67</v>
      </c>
      <c r="E238">
        <v>1</v>
      </c>
      <c r="F238">
        <v>145185.62</v>
      </c>
      <c r="G238" t="s">
        <v>85</v>
      </c>
      <c r="H238">
        <f t="shared" si="15"/>
        <v>14.574685999999993</v>
      </c>
      <c r="I238">
        <v>1</v>
      </c>
      <c r="J238">
        <f t="shared" si="14"/>
        <v>14.574685999999993</v>
      </c>
      <c r="K238">
        <f t="shared" si="13"/>
        <v>14.574685999999993</v>
      </c>
    </row>
    <row r="239" spans="2:11" x14ac:dyDescent="0.25">
      <c r="B239" s="4">
        <v>45800</v>
      </c>
      <c r="C239" t="s">
        <v>34</v>
      </c>
      <c r="D239" t="s">
        <v>67</v>
      </c>
      <c r="E239">
        <v>2</v>
      </c>
      <c r="F239">
        <v>262751</v>
      </c>
      <c r="G239" t="s">
        <v>85</v>
      </c>
      <c r="H239">
        <f t="shared" si="15"/>
        <v>49.844299999999997</v>
      </c>
      <c r="I239">
        <v>1</v>
      </c>
      <c r="J239">
        <f t="shared" si="14"/>
        <v>49.844299999999997</v>
      </c>
      <c r="K239">
        <f t="shared" si="13"/>
        <v>49.844299999999997</v>
      </c>
    </row>
    <row r="240" spans="2:11" x14ac:dyDescent="0.25">
      <c r="B240" s="4">
        <v>45800</v>
      </c>
      <c r="C240" t="s">
        <v>34</v>
      </c>
      <c r="D240" t="s">
        <v>67</v>
      </c>
      <c r="E240">
        <v>3</v>
      </c>
      <c r="F240">
        <v>258792.98</v>
      </c>
      <c r="G240" t="s">
        <v>85</v>
      </c>
      <c r="H240">
        <f t="shared" si="15"/>
        <v>48.656894000000001</v>
      </c>
      <c r="I240">
        <v>1</v>
      </c>
      <c r="J240">
        <f t="shared" si="14"/>
        <v>48.656894000000001</v>
      </c>
      <c r="K240">
        <f t="shared" si="13"/>
        <v>48.656894000000001</v>
      </c>
    </row>
    <row r="241" spans="2:11" x14ac:dyDescent="0.25">
      <c r="B241" s="4">
        <v>45801</v>
      </c>
      <c r="C241" t="s">
        <v>70</v>
      </c>
      <c r="E241" t="s">
        <v>13</v>
      </c>
      <c r="F241">
        <v>266817.09000000003</v>
      </c>
      <c r="G241" t="s">
        <v>85</v>
      </c>
      <c r="H241">
        <f t="shared" si="15"/>
        <v>51.064126999999992</v>
      </c>
      <c r="I241">
        <v>41</v>
      </c>
      <c r="J241">
        <f t="shared" si="14"/>
        <v>2093.6292069999995</v>
      </c>
      <c r="K241">
        <f t="shared" si="13"/>
        <v>2093.6292069999995</v>
      </c>
    </row>
    <row r="242" spans="2:11" x14ac:dyDescent="0.25">
      <c r="B242" s="4">
        <v>45801</v>
      </c>
      <c r="C242" t="s">
        <v>70</v>
      </c>
      <c r="E242" t="s">
        <v>14</v>
      </c>
      <c r="F242">
        <v>301327.38</v>
      </c>
      <c r="G242" t="s">
        <v>85</v>
      </c>
      <c r="H242">
        <f t="shared" si="15"/>
        <v>61.417213999999994</v>
      </c>
      <c r="I242">
        <v>41</v>
      </c>
      <c r="J242">
        <f t="shared" si="14"/>
        <v>2518.1057739999997</v>
      </c>
      <c r="K242">
        <f t="shared" si="13"/>
        <v>2518.1057739999997</v>
      </c>
    </row>
    <row r="243" spans="2:11" x14ac:dyDescent="0.25">
      <c r="B243" s="4">
        <v>45801</v>
      </c>
      <c r="C243" t="s">
        <v>70</v>
      </c>
      <c r="E243" t="s">
        <v>15</v>
      </c>
      <c r="F243">
        <v>240493.23</v>
      </c>
      <c r="G243" t="s">
        <v>85</v>
      </c>
      <c r="H243">
        <f t="shared" si="15"/>
        <v>43.166969000000002</v>
      </c>
      <c r="I243">
        <v>41</v>
      </c>
      <c r="J243">
        <f t="shared" si="14"/>
        <v>1769.8457290000001</v>
      </c>
      <c r="K243">
        <f t="shared" si="13"/>
        <v>1769.8457290000001</v>
      </c>
    </row>
    <row r="244" spans="2:11" x14ac:dyDescent="0.25">
      <c r="B244" s="4">
        <v>45801</v>
      </c>
      <c r="C244" t="s">
        <v>70</v>
      </c>
      <c r="E244" t="s">
        <v>61</v>
      </c>
      <c r="F244">
        <v>225775.19</v>
      </c>
      <c r="G244" t="s">
        <v>85</v>
      </c>
      <c r="H244">
        <f t="shared" si="15"/>
        <v>38.751556999999998</v>
      </c>
      <c r="I244">
        <v>41</v>
      </c>
      <c r="J244">
        <f t="shared" si="14"/>
        <v>1588.8138369999999</v>
      </c>
      <c r="K244">
        <f t="shared" si="13"/>
        <v>1588.8138369999999</v>
      </c>
    </row>
    <row r="245" spans="2:11" x14ac:dyDescent="0.25">
      <c r="B245" s="4">
        <v>45801</v>
      </c>
      <c r="C245" t="s">
        <v>70</v>
      </c>
      <c r="E245" t="s">
        <v>16</v>
      </c>
      <c r="F245">
        <v>212706.27</v>
      </c>
      <c r="G245" t="s">
        <v>85</v>
      </c>
      <c r="H245">
        <f t="shared" si="15"/>
        <v>34.830880999999991</v>
      </c>
      <c r="I245">
        <v>41</v>
      </c>
      <c r="J245">
        <f t="shared" si="14"/>
        <v>1428.0661209999996</v>
      </c>
      <c r="K245">
        <f t="shared" si="13"/>
        <v>1428.0661209999996</v>
      </c>
    </row>
    <row r="246" spans="2:11" x14ac:dyDescent="0.25">
      <c r="B246" s="4">
        <v>45801</v>
      </c>
      <c r="C246" t="s">
        <v>70</v>
      </c>
      <c r="E246" t="s">
        <v>17</v>
      </c>
      <c r="F246">
        <v>191497</v>
      </c>
      <c r="G246" t="s">
        <v>85</v>
      </c>
      <c r="H246">
        <f t="shared" si="15"/>
        <v>28.468099999999993</v>
      </c>
      <c r="I246">
        <v>41</v>
      </c>
      <c r="J246">
        <f t="shared" si="14"/>
        <v>1167.1920999999998</v>
      </c>
      <c r="K246">
        <f t="shared" si="13"/>
        <v>1167.1920999999998</v>
      </c>
    </row>
    <row r="247" spans="2:11" x14ac:dyDescent="0.25">
      <c r="B247" s="4">
        <v>45801</v>
      </c>
      <c r="C247" t="s">
        <v>70</v>
      </c>
      <c r="E247" t="s">
        <v>12</v>
      </c>
      <c r="F247">
        <v>272844.81</v>
      </c>
      <c r="G247" t="s">
        <v>85</v>
      </c>
      <c r="H247">
        <f t="shared" si="15"/>
        <v>52.872442999999997</v>
      </c>
      <c r="I247">
        <v>41</v>
      </c>
      <c r="J247">
        <f t="shared" si="14"/>
        <v>2167.7701629999997</v>
      </c>
      <c r="K247">
        <f t="shared" si="13"/>
        <v>2167.7701629999997</v>
      </c>
    </row>
    <row r="248" spans="2:11" x14ac:dyDescent="0.25">
      <c r="B248" s="4">
        <v>45801</v>
      </c>
      <c r="C248" t="s">
        <v>70</v>
      </c>
      <c r="E248" t="s">
        <v>62</v>
      </c>
      <c r="F248">
        <v>232571.95</v>
      </c>
      <c r="G248" t="s">
        <v>85</v>
      </c>
      <c r="H248">
        <f t="shared" si="15"/>
        <v>40.790585</v>
      </c>
      <c r="I248">
        <v>41</v>
      </c>
      <c r="J248">
        <f t="shared" si="14"/>
        <v>1672.4139849999999</v>
      </c>
      <c r="K248">
        <f t="shared" si="13"/>
        <v>1672.4139849999999</v>
      </c>
    </row>
    <row r="249" spans="2:11" x14ac:dyDescent="0.25">
      <c r="B249" s="4">
        <v>45801</v>
      </c>
      <c r="C249" t="s">
        <v>70</v>
      </c>
      <c r="E249" t="s">
        <v>18</v>
      </c>
      <c r="F249">
        <v>234467.66</v>
      </c>
      <c r="G249" t="s">
        <v>85</v>
      </c>
      <c r="H249">
        <f t="shared" si="15"/>
        <v>41.359297999999988</v>
      </c>
      <c r="I249">
        <v>41</v>
      </c>
      <c r="J249">
        <f t="shared" si="14"/>
        <v>1695.7312179999994</v>
      </c>
      <c r="K249">
        <f t="shared" si="13"/>
        <v>1695.7312179999994</v>
      </c>
    </row>
    <row r="250" spans="2:11" x14ac:dyDescent="0.25">
      <c r="B250" s="4">
        <v>45801</v>
      </c>
      <c r="C250" t="s">
        <v>70</v>
      </c>
      <c r="E250" t="s">
        <v>19</v>
      </c>
      <c r="F250">
        <v>259051.72</v>
      </c>
      <c r="G250" t="s">
        <v>85</v>
      </c>
      <c r="H250">
        <f t="shared" si="15"/>
        <v>48.734515999999992</v>
      </c>
      <c r="I250">
        <v>41</v>
      </c>
      <c r="J250">
        <f t="shared" si="14"/>
        <v>1998.1151559999996</v>
      </c>
      <c r="K250">
        <f t="shared" si="13"/>
        <v>1998.1151559999996</v>
      </c>
    </row>
    <row r="251" spans="2:11" x14ac:dyDescent="0.25">
      <c r="B251" s="4">
        <v>45801</v>
      </c>
      <c r="C251" t="s">
        <v>70</v>
      </c>
      <c r="E251" t="s">
        <v>20</v>
      </c>
      <c r="F251">
        <v>214391</v>
      </c>
      <c r="G251" t="s">
        <v>85</v>
      </c>
      <c r="H251">
        <f t="shared" si="15"/>
        <v>35.336299999999987</v>
      </c>
      <c r="I251">
        <v>41</v>
      </c>
      <c r="J251">
        <f t="shared" si="14"/>
        <v>1448.7882999999995</v>
      </c>
      <c r="K251">
        <f t="shared" si="13"/>
        <v>1448.7882999999995</v>
      </c>
    </row>
    <row r="252" spans="2:11" x14ac:dyDescent="0.25">
      <c r="B252" s="4">
        <v>45801</v>
      </c>
      <c r="C252" t="s">
        <v>70</v>
      </c>
      <c r="E252" t="s">
        <v>63</v>
      </c>
      <c r="F252">
        <v>179563.86</v>
      </c>
      <c r="G252" t="s">
        <v>85</v>
      </c>
      <c r="H252">
        <f t="shared" si="15"/>
        <v>24.88815799999999</v>
      </c>
      <c r="I252">
        <v>41</v>
      </c>
      <c r="J252">
        <f t="shared" si="14"/>
        <v>1020.4144779999996</v>
      </c>
      <c r="K252">
        <f t="shared" si="13"/>
        <v>1020.4144779999996</v>
      </c>
    </row>
    <row r="253" spans="2:11" x14ac:dyDescent="0.25">
      <c r="B253" s="4">
        <v>45801</v>
      </c>
      <c r="C253" t="s">
        <v>70</v>
      </c>
      <c r="E253" t="s">
        <v>21</v>
      </c>
      <c r="F253">
        <v>191250.48</v>
      </c>
      <c r="G253" t="s">
        <v>85</v>
      </c>
      <c r="H253">
        <f t="shared" si="15"/>
        <v>28.394143999999997</v>
      </c>
      <c r="I253">
        <v>41</v>
      </c>
      <c r="J253">
        <f t="shared" si="14"/>
        <v>1164.1599039999999</v>
      </c>
      <c r="K253">
        <f t="shared" si="13"/>
        <v>1164.1599039999999</v>
      </c>
    </row>
    <row r="254" spans="2:11" x14ac:dyDescent="0.25">
      <c r="B254" s="4">
        <v>45801</v>
      </c>
      <c r="C254" t="s">
        <v>70</v>
      </c>
      <c r="E254" t="s">
        <v>22</v>
      </c>
      <c r="F254">
        <v>199894.72</v>
      </c>
      <c r="G254" t="s">
        <v>85</v>
      </c>
      <c r="H254">
        <f t="shared" si="15"/>
        <v>30.987415999999996</v>
      </c>
      <c r="I254">
        <v>41</v>
      </c>
      <c r="J254">
        <f t="shared" si="14"/>
        <v>1270.4840559999998</v>
      </c>
      <c r="K254">
        <f t="shared" si="13"/>
        <v>1270.4840559999998</v>
      </c>
    </row>
    <row r="255" spans="2:11" x14ac:dyDescent="0.25">
      <c r="B255" s="4">
        <v>45801</v>
      </c>
      <c r="C255" t="s">
        <v>70</v>
      </c>
      <c r="E255" t="s">
        <v>23</v>
      </c>
      <c r="F255">
        <v>242876.42</v>
      </c>
      <c r="G255" t="s">
        <v>85</v>
      </c>
      <c r="H255">
        <f t="shared" si="15"/>
        <v>43.881926</v>
      </c>
      <c r="I255">
        <v>41</v>
      </c>
      <c r="J255">
        <f t="shared" si="14"/>
        <v>1799.158966</v>
      </c>
      <c r="K255">
        <f t="shared" si="13"/>
        <v>1799.158966</v>
      </c>
    </row>
    <row r="256" spans="2:11" x14ac:dyDescent="0.25">
      <c r="B256" s="4">
        <v>45801</v>
      </c>
      <c r="C256" t="s">
        <v>70</v>
      </c>
      <c r="E256" t="s">
        <v>64</v>
      </c>
      <c r="F256">
        <v>228773.45</v>
      </c>
      <c r="G256" t="s">
        <v>85</v>
      </c>
      <c r="H256">
        <f t="shared" si="15"/>
        <v>39.651035</v>
      </c>
      <c r="I256">
        <v>41</v>
      </c>
      <c r="J256">
        <f t="shared" si="14"/>
        <v>1625.6924349999999</v>
      </c>
      <c r="K256">
        <f t="shared" si="13"/>
        <v>1625.6924349999999</v>
      </c>
    </row>
    <row r="257" spans="2:11" x14ac:dyDescent="0.25">
      <c r="B257" s="4">
        <v>45801</v>
      </c>
      <c r="C257" t="s">
        <v>70</v>
      </c>
      <c r="E257" t="s">
        <v>24</v>
      </c>
      <c r="F257">
        <v>162363.04999999999</v>
      </c>
      <c r="G257" t="s">
        <v>85</v>
      </c>
      <c r="H257">
        <f t="shared" si="15"/>
        <v>19.727914999999989</v>
      </c>
      <c r="I257">
        <v>41</v>
      </c>
      <c r="J257">
        <f t="shared" si="14"/>
        <v>808.84451499999955</v>
      </c>
      <c r="K257">
        <f t="shared" si="13"/>
        <v>808.84451499999955</v>
      </c>
    </row>
    <row r="258" spans="2:11" x14ac:dyDescent="0.25">
      <c r="B258" s="4">
        <v>45801</v>
      </c>
      <c r="C258" t="s">
        <v>70</v>
      </c>
      <c r="E258" t="s">
        <v>25</v>
      </c>
      <c r="F258">
        <v>177550.47</v>
      </c>
      <c r="G258" t="s">
        <v>85</v>
      </c>
      <c r="H258">
        <f t="shared" si="15"/>
        <v>24.284140999999991</v>
      </c>
      <c r="I258">
        <v>41</v>
      </c>
      <c r="J258">
        <f t="shared" si="14"/>
        <v>995.64978099999962</v>
      </c>
      <c r="K258">
        <f t="shared" si="13"/>
        <v>995.64978099999962</v>
      </c>
    </row>
    <row r="259" spans="2:11" x14ac:dyDescent="0.25">
      <c r="B259" s="4">
        <v>45801</v>
      </c>
      <c r="C259" t="s">
        <v>70</v>
      </c>
      <c r="E259" t="s">
        <v>26</v>
      </c>
      <c r="F259">
        <v>180495.44</v>
      </c>
      <c r="G259" t="s">
        <v>85</v>
      </c>
      <c r="H259">
        <f t="shared" si="15"/>
        <v>25.167631999999998</v>
      </c>
      <c r="I259">
        <v>41</v>
      </c>
      <c r="J259">
        <f t="shared" si="14"/>
        <v>1031.8729119999998</v>
      </c>
      <c r="K259">
        <f t="shared" ref="K259:K322" si="16">MAX(J259,0)</f>
        <v>1031.8729119999998</v>
      </c>
    </row>
    <row r="260" spans="2:11" x14ac:dyDescent="0.25">
      <c r="B260" s="4">
        <v>45801</v>
      </c>
      <c r="C260" t="s">
        <v>70</v>
      </c>
      <c r="E260" t="s">
        <v>65</v>
      </c>
      <c r="F260">
        <v>250440.27</v>
      </c>
      <c r="G260" t="s">
        <v>85</v>
      </c>
      <c r="H260">
        <f t="shared" si="15"/>
        <v>46.151080999999984</v>
      </c>
      <c r="I260">
        <v>41</v>
      </c>
      <c r="J260">
        <f t="shared" si="14"/>
        <v>1892.1943209999993</v>
      </c>
      <c r="K260">
        <f t="shared" si="16"/>
        <v>1892.1943209999993</v>
      </c>
    </row>
    <row r="261" spans="2:11" x14ac:dyDescent="0.25">
      <c r="B261" s="4">
        <v>45801</v>
      </c>
      <c r="C261" t="s">
        <v>70</v>
      </c>
      <c r="E261" t="s">
        <v>27</v>
      </c>
      <c r="F261">
        <v>209673.84</v>
      </c>
      <c r="G261" t="s">
        <v>85</v>
      </c>
      <c r="H261">
        <f t="shared" si="15"/>
        <v>33.921151999999992</v>
      </c>
      <c r="I261">
        <v>41</v>
      </c>
      <c r="J261">
        <f t="shared" si="14"/>
        <v>1390.7672319999997</v>
      </c>
      <c r="K261">
        <f t="shared" si="16"/>
        <v>1390.7672319999997</v>
      </c>
    </row>
    <row r="262" spans="2:11" x14ac:dyDescent="0.25">
      <c r="B262" s="4">
        <v>45801</v>
      </c>
      <c r="C262" t="s">
        <v>70</v>
      </c>
      <c r="E262" t="s">
        <v>28</v>
      </c>
      <c r="F262">
        <v>252186.06</v>
      </c>
      <c r="G262" t="s">
        <v>85</v>
      </c>
      <c r="H262">
        <f t="shared" si="15"/>
        <v>46.674817999999995</v>
      </c>
      <c r="I262">
        <v>41</v>
      </c>
      <c r="J262">
        <f t="shared" si="14"/>
        <v>1913.6675379999997</v>
      </c>
      <c r="K262">
        <f t="shared" si="16"/>
        <v>1913.6675379999997</v>
      </c>
    </row>
    <row r="263" spans="2:11" x14ac:dyDescent="0.25">
      <c r="B263" s="4">
        <v>45801</v>
      </c>
      <c r="C263" t="s">
        <v>70</v>
      </c>
      <c r="E263" t="s">
        <v>29</v>
      </c>
      <c r="F263">
        <v>210575.78</v>
      </c>
      <c r="G263" t="s">
        <v>85</v>
      </c>
      <c r="H263">
        <f t="shared" si="15"/>
        <v>34.19173399999999</v>
      </c>
      <c r="I263">
        <v>41</v>
      </c>
      <c r="J263">
        <f t="shared" si="14"/>
        <v>1401.8610939999996</v>
      </c>
      <c r="K263">
        <f t="shared" si="16"/>
        <v>1401.8610939999996</v>
      </c>
    </row>
    <row r="264" spans="2:11" x14ac:dyDescent="0.25">
      <c r="B264" s="4">
        <v>45801</v>
      </c>
      <c r="C264" t="s">
        <v>70</v>
      </c>
      <c r="E264" t="s">
        <v>66</v>
      </c>
      <c r="F264">
        <v>272649.62</v>
      </c>
      <c r="G264" t="s">
        <v>85</v>
      </c>
      <c r="H264">
        <f t="shared" si="15"/>
        <v>52.813885999999989</v>
      </c>
      <c r="I264">
        <v>41</v>
      </c>
      <c r="J264">
        <f t="shared" si="14"/>
        <v>2165.3693259999995</v>
      </c>
      <c r="K264">
        <f t="shared" si="16"/>
        <v>2165.3693259999995</v>
      </c>
    </row>
    <row r="265" spans="2:11" x14ac:dyDescent="0.25">
      <c r="B265" s="4">
        <v>45801</v>
      </c>
      <c r="C265" t="s">
        <v>70</v>
      </c>
      <c r="D265" t="s">
        <v>67</v>
      </c>
      <c r="E265">
        <v>1</v>
      </c>
      <c r="F265">
        <v>168018.62</v>
      </c>
      <c r="G265" t="s">
        <v>85</v>
      </c>
      <c r="H265">
        <f t="shared" si="15"/>
        <v>21.424585999999991</v>
      </c>
      <c r="I265">
        <v>41</v>
      </c>
      <c r="J265">
        <f t="shared" si="14"/>
        <v>878.40802599999961</v>
      </c>
      <c r="K265">
        <f t="shared" si="16"/>
        <v>878.40802599999961</v>
      </c>
    </row>
    <row r="266" spans="2:11" x14ac:dyDescent="0.25">
      <c r="B266" s="4">
        <v>45801</v>
      </c>
      <c r="C266" t="s">
        <v>70</v>
      </c>
      <c r="D266" t="s">
        <v>67</v>
      </c>
      <c r="E266">
        <v>2</v>
      </c>
      <c r="F266">
        <v>238032.77</v>
      </c>
      <c r="G266" t="s">
        <v>85</v>
      </c>
      <c r="H266">
        <f t="shared" si="15"/>
        <v>42.428830999999995</v>
      </c>
      <c r="I266">
        <v>41</v>
      </c>
      <c r="J266">
        <f t="shared" si="14"/>
        <v>1739.5820709999998</v>
      </c>
      <c r="K266">
        <f t="shared" si="16"/>
        <v>1739.5820709999998</v>
      </c>
    </row>
    <row r="267" spans="2:11" x14ac:dyDescent="0.25">
      <c r="B267" s="4">
        <v>45801</v>
      </c>
      <c r="C267" t="s">
        <v>70</v>
      </c>
      <c r="D267" t="s">
        <v>67</v>
      </c>
      <c r="E267">
        <v>3</v>
      </c>
      <c r="F267">
        <v>185296.83</v>
      </c>
      <c r="G267" t="s">
        <v>85</v>
      </c>
      <c r="H267">
        <f t="shared" si="15"/>
        <v>26.608048999999987</v>
      </c>
      <c r="I267">
        <v>41</v>
      </c>
      <c r="J267">
        <f t="shared" si="14"/>
        <v>1090.9300089999995</v>
      </c>
      <c r="K267">
        <f t="shared" si="16"/>
        <v>1090.9300089999995</v>
      </c>
    </row>
    <row r="268" spans="2:11" x14ac:dyDescent="0.25">
      <c r="B268" s="4">
        <v>45801</v>
      </c>
      <c r="C268" t="s">
        <v>71</v>
      </c>
      <c r="E268" t="s">
        <v>13</v>
      </c>
      <c r="F268">
        <v>239878.97</v>
      </c>
      <c r="G268" t="s">
        <v>85</v>
      </c>
      <c r="H268">
        <f t="shared" si="15"/>
        <v>42.982690999999996</v>
      </c>
      <c r="I268">
        <v>41</v>
      </c>
      <c r="J268">
        <f t="shared" si="14"/>
        <v>1762.2903309999999</v>
      </c>
      <c r="K268">
        <f t="shared" si="16"/>
        <v>1762.2903309999999</v>
      </c>
    </row>
    <row r="269" spans="2:11" x14ac:dyDescent="0.25">
      <c r="B269" s="4">
        <v>45801</v>
      </c>
      <c r="C269" t="s">
        <v>71</v>
      </c>
      <c r="E269" t="s">
        <v>14</v>
      </c>
      <c r="F269">
        <v>463643.41</v>
      </c>
      <c r="G269" t="s">
        <v>85</v>
      </c>
      <c r="H269">
        <f t="shared" si="15"/>
        <v>110.11202299999999</v>
      </c>
      <c r="I269">
        <v>41</v>
      </c>
      <c r="J269">
        <f t="shared" si="14"/>
        <v>4514.5929429999997</v>
      </c>
      <c r="K269">
        <f t="shared" si="16"/>
        <v>4514.5929429999997</v>
      </c>
    </row>
    <row r="270" spans="2:11" x14ac:dyDescent="0.25">
      <c r="B270" s="4">
        <v>45801</v>
      </c>
      <c r="C270" t="s">
        <v>71</v>
      </c>
      <c r="E270" t="s">
        <v>15</v>
      </c>
      <c r="F270">
        <v>212368.44</v>
      </c>
      <c r="G270" t="s">
        <v>85</v>
      </c>
      <c r="H270">
        <f t="shared" si="15"/>
        <v>34.729531999999992</v>
      </c>
      <c r="I270">
        <v>41</v>
      </c>
      <c r="J270">
        <f t="shared" si="14"/>
        <v>1423.9108119999996</v>
      </c>
      <c r="K270">
        <f t="shared" si="16"/>
        <v>1423.9108119999996</v>
      </c>
    </row>
    <row r="271" spans="2:11" x14ac:dyDescent="0.25">
      <c r="B271" s="4">
        <v>45801</v>
      </c>
      <c r="C271" t="s">
        <v>71</v>
      </c>
      <c r="E271" t="s">
        <v>61</v>
      </c>
      <c r="F271">
        <v>313339.46999999997</v>
      </c>
      <c r="G271" t="s">
        <v>85</v>
      </c>
      <c r="H271">
        <f t="shared" si="15"/>
        <v>65.02084099999999</v>
      </c>
      <c r="I271">
        <v>41</v>
      </c>
      <c r="J271">
        <f t="shared" si="14"/>
        <v>2665.8544809999994</v>
      </c>
      <c r="K271">
        <f t="shared" si="16"/>
        <v>2665.8544809999994</v>
      </c>
    </row>
    <row r="272" spans="2:11" x14ac:dyDescent="0.25">
      <c r="B272" s="4">
        <v>45801</v>
      </c>
      <c r="C272" t="s">
        <v>71</v>
      </c>
      <c r="E272" t="s">
        <v>16</v>
      </c>
      <c r="F272">
        <v>230211.61</v>
      </c>
      <c r="G272" t="s">
        <v>85</v>
      </c>
      <c r="H272">
        <f t="shared" si="15"/>
        <v>40.082482999999989</v>
      </c>
      <c r="I272">
        <v>41</v>
      </c>
      <c r="J272">
        <f t="shared" si="14"/>
        <v>1643.3818029999995</v>
      </c>
      <c r="K272">
        <f t="shared" si="16"/>
        <v>1643.3818029999995</v>
      </c>
    </row>
    <row r="273" spans="1:11" x14ac:dyDescent="0.25">
      <c r="B273" s="4">
        <v>45801</v>
      </c>
      <c r="C273" t="s">
        <v>71</v>
      </c>
      <c r="E273" t="s">
        <v>17</v>
      </c>
      <c r="F273">
        <v>268914.88</v>
      </c>
      <c r="G273" t="s">
        <v>85</v>
      </c>
      <c r="H273">
        <f t="shared" si="15"/>
        <v>51.693463999999999</v>
      </c>
      <c r="I273">
        <v>41</v>
      </c>
      <c r="J273">
        <f t="shared" si="14"/>
        <v>2119.4320239999997</v>
      </c>
      <c r="K273">
        <f t="shared" si="16"/>
        <v>2119.4320239999997</v>
      </c>
    </row>
    <row r="274" spans="1:11" x14ac:dyDescent="0.25">
      <c r="B274" s="4">
        <v>45801</v>
      </c>
      <c r="C274" t="s">
        <v>71</v>
      </c>
      <c r="E274" t="s">
        <v>12</v>
      </c>
      <c r="F274">
        <v>232508.03</v>
      </c>
      <c r="G274" t="s">
        <v>85</v>
      </c>
      <c r="H274">
        <f t="shared" si="15"/>
        <v>40.771408999999998</v>
      </c>
      <c r="I274">
        <v>41</v>
      </c>
      <c r="J274">
        <f t="shared" si="14"/>
        <v>1671.6277689999999</v>
      </c>
      <c r="K274">
        <f t="shared" si="16"/>
        <v>1671.6277689999999</v>
      </c>
    </row>
    <row r="275" spans="1:11" x14ac:dyDescent="0.25">
      <c r="B275" s="4">
        <v>45801</v>
      </c>
      <c r="C275" t="s">
        <v>71</v>
      </c>
      <c r="E275" t="s">
        <v>62</v>
      </c>
      <c r="F275">
        <v>194444.56</v>
      </c>
      <c r="G275" t="s">
        <v>85</v>
      </c>
      <c r="H275">
        <f t="shared" si="15"/>
        <v>29.352367999999991</v>
      </c>
      <c r="I275">
        <v>41</v>
      </c>
      <c r="J275">
        <f t="shared" si="14"/>
        <v>1203.4470879999997</v>
      </c>
      <c r="K275">
        <f t="shared" si="16"/>
        <v>1203.4470879999997</v>
      </c>
    </row>
    <row r="276" spans="1:11" x14ac:dyDescent="0.25">
      <c r="A276" s="3"/>
      <c r="B276" s="5">
        <v>45801</v>
      </c>
      <c r="C276" s="3" t="s">
        <v>71</v>
      </c>
      <c r="D276" s="3"/>
      <c r="E276" s="3" t="s">
        <v>18</v>
      </c>
      <c r="F276" s="3" t="s">
        <v>69</v>
      </c>
      <c r="G276" t="s">
        <v>85</v>
      </c>
      <c r="H276" t="e">
        <f t="shared" si="15"/>
        <v>#VALUE!</v>
      </c>
      <c r="I276">
        <v>41</v>
      </c>
      <c r="J276" t="e">
        <f t="shared" si="14"/>
        <v>#VALUE!</v>
      </c>
      <c r="K276" t="e">
        <f t="shared" si="16"/>
        <v>#VALUE!</v>
      </c>
    </row>
    <row r="277" spans="1:11" x14ac:dyDescent="0.25">
      <c r="B277" s="4">
        <v>45801</v>
      </c>
      <c r="C277" t="s">
        <v>71</v>
      </c>
      <c r="E277" t="s">
        <v>19</v>
      </c>
      <c r="F277">
        <v>200823.58</v>
      </c>
      <c r="G277" t="s">
        <v>85</v>
      </c>
      <c r="H277">
        <f t="shared" si="15"/>
        <v>31.266073999999989</v>
      </c>
      <c r="I277">
        <v>41</v>
      </c>
      <c r="J277">
        <f t="shared" si="14"/>
        <v>1281.9090339999996</v>
      </c>
      <c r="K277">
        <f t="shared" si="16"/>
        <v>1281.9090339999996</v>
      </c>
    </row>
    <row r="278" spans="1:11" x14ac:dyDescent="0.25">
      <c r="B278" s="4">
        <v>45801</v>
      </c>
      <c r="C278" t="s">
        <v>71</v>
      </c>
      <c r="E278" t="s">
        <v>20</v>
      </c>
      <c r="F278">
        <v>211889.48</v>
      </c>
      <c r="G278" t="s">
        <v>85</v>
      </c>
      <c r="H278">
        <f t="shared" si="15"/>
        <v>34.585843999999994</v>
      </c>
      <c r="I278">
        <v>41</v>
      </c>
      <c r="J278">
        <f t="shared" si="14"/>
        <v>1418.0196039999998</v>
      </c>
      <c r="K278">
        <f t="shared" si="16"/>
        <v>1418.0196039999998</v>
      </c>
    </row>
    <row r="279" spans="1:11" x14ac:dyDescent="0.25">
      <c r="B279" s="4">
        <v>45801</v>
      </c>
      <c r="C279" t="s">
        <v>71</v>
      </c>
      <c r="E279" t="s">
        <v>63</v>
      </c>
      <c r="F279">
        <v>204390.59</v>
      </c>
      <c r="G279" t="s">
        <v>85</v>
      </c>
      <c r="H279">
        <f t="shared" si="15"/>
        <v>32.336176999999992</v>
      </c>
      <c r="I279">
        <v>41</v>
      </c>
      <c r="J279">
        <f t="shared" si="14"/>
        <v>1325.7832569999996</v>
      </c>
      <c r="K279">
        <f t="shared" si="16"/>
        <v>1325.7832569999996</v>
      </c>
    </row>
    <row r="280" spans="1:11" x14ac:dyDescent="0.25">
      <c r="B280" s="4">
        <v>45801</v>
      </c>
      <c r="C280" t="s">
        <v>71</v>
      </c>
      <c r="E280" t="s">
        <v>21</v>
      </c>
      <c r="F280">
        <v>210671.73</v>
      </c>
      <c r="G280" t="s">
        <v>85</v>
      </c>
      <c r="H280">
        <f t="shared" si="15"/>
        <v>34.220518999999996</v>
      </c>
      <c r="I280">
        <v>41</v>
      </c>
      <c r="J280">
        <f t="shared" si="14"/>
        <v>1403.0412789999998</v>
      </c>
      <c r="K280">
        <f t="shared" si="16"/>
        <v>1403.0412789999998</v>
      </c>
    </row>
    <row r="281" spans="1:11" x14ac:dyDescent="0.25">
      <c r="B281" s="4">
        <v>45801</v>
      </c>
      <c r="C281" t="s">
        <v>71</v>
      </c>
      <c r="E281" t="s">
        <v>22</v>
      </c>
      <c r="F281">
        <v>243170.45</v>
      </c>
      <c r="G281" t="s">
        <v>85</v>
      </c>
      <c r="H281">
        <f t="shared" si="15"/>
        <v>43.970134999999992</v>
      </c>
      <c r="I281">
        <v>41</v>
      </c>
      <c r="J281">
        <f t="shared" si="14"/>
        <v>1802.7755349999998</v>
      </c>
      <c r="K281">
        <f t="shared" si="16"/>
        <v>1802.7755349999998</v>
      </c>
    </row>
    <row r="282" spans="1:11" x14ac:dyDescent="0.25">
      <c r="B282" s="4">
        <v>45801</v>
      </c>
      <c r="C282" t="s">
        <v>71</v>
      </c>
      <c r="E282" t="s">
        <v>23</v>
      </c>
      <c r="F282">
        <v>191344.55</v>
      </c>
      <c r="G282" t="s">
        <v>85</v>
      </c>
      <c r="H282">
        <f t="shared" si="15"/>
        <v>28.422364999999992</v>
      </c>
      <c r="I282">
        <v>41</v>
      </c>
      <c r="J282">
        <f t="shared" si="14"/>
        <v>1165.3169649999998</v>
      </c>
      <c r="K282">
        <f t="shared" si="16"/>
        <v>1165.3169649999998</v>
      </c>
    </row>
    <row r="283" spans="1:11" x14ac:dyDescent="0.25">
      <c r="B283" s="4">
        <v>45801</v>
      </c>
      <c r="C283" t="s">
        <v>71</v>
      </c>
      <c r="E283" t="s">
        <v>64</v>
      </c>
      <c r="F283">
        <v>228304.08</v>
      </c>
      <c r="G283" t="s">
        <v>85</v>
      </c>
      <c r="H283">
        <f t="shared" si="15"/>
        <v>39.510223999999987</v>
      </c>
      <c r="I283">
        <v>41</v>
      </c>
      <c r="J283">
        <f t="shared" si="14"/>
        <v>1619.9191839999994</v>
      </c>
      <c r="K283">
        <f t="shared" si="16"/>
        <v>1619.9191839999994</v>
      </c>
    </row>
    <row r="284" spans="1:11" x14ac:dyDescent="0.25">
      <c r="B284" s="4">
        <v>45801</v>
      </c>
      <c r="C284" t="s">
        <v>71</v>
      </c>
      <c r="E284" t="s">
        <v>24</v>
      </c>
      <c r="F284">
        <v>197043.19</v>
      </c>
      <c r="G284" t="s">
        <v>85</v>
      </c>
      <c r="H284">
        <f t="shared" si="15"/>
        <v>30.131956999999993</v>
      </c>
      <c r="I284">
        <v>41</v>
      </c>
      <c r="J284">
        <f t="shared" si="14"/>
        <v>1235.4102369999996</v>
      </c>
      <c r="K284">
        <f t="shared" si="16"/>
        <v>1235.4102369999996</v>
      </c>
    </row>
    <row r="285" spans="1:11" x14ac:dyDescent="0.25">
      <c r="B285" s="4">
        <v>45801</v>
      </c>
      <c r="C285" t="s">
        <v>71</v>
      </c>
      <c r="E285" t="s">
        <v>25</v>
      </c>
      <c r="F285">
        <v>158896.60999999999</v>
      </c>
      <c r="G285" t="s">
        <v>85</v>
      </c>
      <c r="H285">
        <f t="shared" si="15"/>
        <v>18.687982999999988</v>
      </c>
      <c r="I285">
        <v>41</v>
      </c>
      <c r="J285">
        <f t="shared" si="14"/>
        <v>766.20730299999957</v>
      </c>
      <c r="K285">
        <f t="shared" si="16"/>
        <v>766.20730299999957</v>
      </c>
    </row>
    <row r="286" spans="1:11" x14ac:dyDescent="0.25">
      <c r="B286" s="4">
        <v>45801</v>
      </c>
      <c r="C286" t="s">
        <v>71</v>
      </c>
      <c r="E286" t="s">
        <v>26</v>
      </c>
      <c r="F286">
        <v>181198.77</v>
      </c>
      <c r="G286" t="s">
        <v>85</v>
      </c>
      <c r="H286">
        <f t="shared" si="15"/>
        <v>25.378630999999992</v>
      </c>
      <c r="I286">
        <v>41</v>
      </c>
      <c r="J286">
        <f t="shared" si="14"/>
        <v>1040.5238709999996</v>
      </c>
      <c r="K286">
        <f t="shared" si="16"/>
        <v>1040.5238709999996</v>
      </c>
    </row>
    <row r="287" spans="1:11" x14ac:dyDescent="0.25">
      <c r="B287" s="4">
        <v>45801</v>
      </c>
      <c r="C287" t="s">
        <v>71</v>
      </c>
      <c r="E287" t="s">
        <v>65</v>
      </c>
      <c r="F287">
        <v>272794.38</v>
      </c>
      <c r="G287" t="s">
        <v>85</v>
      </c>
      <c r="H287">
        <f t="shared" si="15"/>
        <v>52.857313999999995</v>
      </c>
      <c r="I287">
        <v>41</v>
      </c>
      <c r="J287">
        <f t="shared" si="14"/>
        <v>2167.1498739999997</v>
      </c>
      <c r="K287">
        <f t="shared" si="16"/>
        <v>2167.1498739999997</v>
      </c>
    </row>
    <row r="288" spans="1:11" x14ac:dyDescent="0.25">
      <c r="B288" s="4">
        <v>45801</v>
      </c>
      <c r="C288" t="s">
        <v>71</v>
      </c>
      <c r="E288" t="s">
        <v>27</v>
      </c>
      <c r="F288">
        <v>226696.58</v>
      </c>
      <c r="G288" t="s">
        <v>85</v>
      </c>
      <c r="H288">
        <f t="shared" si="15"/>
        <v>39.027973999999993</v>
      </c>
      <c r="I288">
        <v>41</v>
      </c>
      <c r="J288">
        <f t="shared" ref="J288:J351" si="17">H288*I288</f>
        <v>1600.1469339999996</v>
      </c>
      <c r="K288">
        <f t="shared" si="16"/>
        <v>1600.1469339999996</v>
      </c>
    </row>
    <row r="289" spans="2:11" x14ac:dyDescent="0.25">
      <c r="B289" s="4">
        <v>45801</v>
      </c>
      <c r="C289" t="s">
        <v>71</v>
      </c>
      <c r="E289" t="s">
        <v>28</v>
      </c>
      <c r="F289">
        <v>336755.53</v>
      </c>
      <c r="G289" t="s">
        <v>85</v>
      </c>
      <c r="H289">
        <f t="shared" si="15"/>
        <v>72.045659000000001</v>
      </c>
      <c r="I289">
        <v>41</v>
      </c>
      <c r="J289">
        <f t="shared" si="17"/>
        <v>2953.8720189999999</v>
      </c>
      <c r="K289">
        <f t="shared" si="16"/>
        <v>2953.8720189999999</v>
      </c>
    </row>
    <row r="290" spans="2:11" x14ac:dyDescent="0.25">
      <c r="B290" s="4">
        <v>45801</v>
      </c>
      <c r="C290" t="s">
        <v>71</v>
      </c>
      <c r="E290" t="s">
        <v>29</v>
      </c>
      <c r="F290">
        <v>333207.46999999997</v>
      </c>
      <c r="G290" t="s">
        <v>85</v>
      </c>
      <c r="H290">
        <f t="shared" ref="H290:H353" si="18">(0.0003*F290)-28.981</f>
        <v>70.981240999999983</v>
      </c>
      <c r="I290">
        <v>41</v>
      </c>
      <c r="J290">
        <f t="shared" si="17"/>
        <v>2910.2308809999995</v>
      </c>
      <c r="K290">
        <f t="shared" si="16"/>
        <v>2910.2308809999995</v>
      </c>
    </row>
    <row r="291" spans="2:11" x14ac:dyDescent="0.25">
      <c r="B291" s="4">
        <v>45801</v>
      </c>
      <c r="C291" t="s">
        <v>71</v>
      </c>
      <c r="E291" t="s">
        <v>66</v>
      </c>
      <c r="F291">
        <v>216754.8</v>
      </c>
      <c r="G291" t="s">
        <v>85</v>
      </c>
      <c r="H291">
        <f t="shared" si="18"/>
        <v>36.045439999999992</v>
      </c>
      <c r="I291">
        <v>41</v>
      </c>
      <c r="J291">
        <f t="shared" si="17"/>
        <v>1477.8630399999997</v>
      </c>
      <c r="K291">
        <f t="shared" si="16"/>
        <v>1477.8630399999997</v>
      </c>
    </row>
    <row r="292" spans="2:11" x14ac:dyDescent="0.25">
      <c r="B292" s="4">
        <v>45801</v>
      </c>
      <c r="C292" t="s">
        <v>71</v>
      </c>
      <c r="D292" t="s">
        <v>67</v>
      </c>
      <c r="E292">
        <v>1</v>
      </c>
      <c r="F292">
        <v>353431.19</v>
      </c>
      <c r="G292" t="s">
        <v>85</v>
      </c>
      <c r="H292">
        <f t="shared" si="18"/>
        <v>77.048356999999982</v>
      </c>
      <c r="I292">
        <v>1</v>
      </c>
      <c r="J292">
        <f t="shared" si="17"/>
        <v>77.048356999999982</v>
      </c>
      <c r="K292">
        <f t="shared" si="16"/>
        <v>77.048356999999982</v>
      </c>
    </row>
    <row r="293" spans="2:11" x14ac:dyDescent="0.25">
      <c r="B293" s="4">
        <v>45801</v>
      </c>
      <c r="C293" t="s">
        <v>71</v>
      </c>
      <c r="D293" t="s">
        <v>67</v>
      </c>
      <c r="E293">
        <v>2</v>
      </c>
      <c r="F293">
        <v>254042.72</v>
      </c>
      <c r="G293" t="s">
        <v>85</v>
      </c>
      <c r="H293">
        <f t="shared" si="18"/>
        <v>47.231815999999988</v>
      </c>
      <c r="I293">
        <v>1</v>
      </c>
      <c r="J293">
        <f t="shared" si="17"/>
        <v>47.231815999999988</v>
      </c>
      <c r="K293">
        <f t="shared" si="16"/>
        <v>47.231815999999988</v>
      </c>
    </row>
    <row r="294" spans="2:11" x14ac:dyDescent="0.25">
      <c r="B294" s="4">
        <v>45801</v>
      </c>
      <c r="C294" t="s">
        <v>71</v>
      </c>
      <c r="D294" t="s">
        <v>67</v>
      </c>
      <c r="E294">
        <v>3</v>
      </c>
      <c r="F294">
        <v>247492.98</v>
      </c>
      <c r="G294" t="s">
        <v>85</v>
      </c>
      <c r="H294">
        <f t="shared" si="18"/>
        <v>45.266894000000001</v>
      </c>
      <c r="I294">
        <v>1</v>
      </c>
      <c r="J294">
        <f t="shared" si="17"/>
        <v>45.266894000000001</v>
      </c>
      <c r="K294">
        <f t="shared" si="16"/>
        <v>45.266894000000001</v>
      </c>
    </row>
    <row r="295" spans="2:11" x14ac:dyDescent="0.25">
      <c r="B295" s="4">
        <v>45801</v>
      </c>
      <c r="C295" t="s">
        <v>72</v>
      </c>
      <c r="E295" t="s">
        <v>13</v>
      </c>
      <c r="F295">
        <v>494676.75</v>
      </c>
      <c r="G295" t="s">
        <v>85</v>
      </c>
      <c r="H295">
        <f t="shared" si="18"/>
        <v>119.42202499999999</v>
      </c>
      <c r="I295">
        <v>41</v>
      </c>
      <c r="J295">
        <f t="shared" si="17"/>
        <v>4896.3030249999993</v>
      </c>
      <c r="K295">
        <f t="shared" si="16"/>
        <v>4896.3030249999993</v>
      </c>
    </row>
    <row r="296" spans="2:11" x14ac:dyDescent="0.25">
      <c r="B296" s="4">
        <v>45801</v>
      </c>
      <c r="C296" t="s">
        <v>72</v>
      </c>
      <c r="E296" t="s">
        <v>14</v>
      </c>
      <c r="F296">
        <v>454253.38</v>
      </c>
      <c r="G296" t="s">
        <v>85</v>
      </c>
      <c r="H296">
        <f t="shared" si="18"/>
        <v>107.29501400000001</v>
      </c>
      <c r="I296">
        <v>41</v>
      </c>
      <c r="J296">
        <f t="shared" si="17"/>
        <v>4399.0955739999999</v>
      </c>
      <c r="K296">
        <f t="shared" si="16"/>
        <v>4399.0955739999999</v>
      </c>
    </row>
    <row r="297" spans="2:11" x14ac:dyDescent="0.25">
      <c r="B297" s="4">
        <v>45801</v>
      </c>
      <c r="C297" t="s">
        <v>72</v>
      </c>
      <c r="E297" t="s">
        <v>15</v>
      </c>
      <c r="F297">
        <v>257073.17</v>
      </c>
      <c r="G297" t="s">
        <v>85</v>
      </c>
      <c r="H297">
        <f t="shared" si="18"/>
        <v>48.140950999999994</v>
      </c>
      <c r="I297">
        <v>41</v>
      </c>
      <c r="J297">
        <f t="shared" si="17"/>
        <v>1973.7789909999997</v>
      </c>
      <c r="K297">
        <f t="shared" si="16"/>
        <v>1973.7789909999997</v>
      </c>
    </row>
    <row r="298" spans="2:11" x14ac:dyDescent="0.25">
      <c r="B298" s="4">
        <v>45801</v>
      </c>
      <c r="C298" t="s">
        <v>72</v>
      </c>
      <c r="E298" t="s">
        <v>61</v>
      </c>
      <c r="F298">
        <v>200333.77</v>
      </c>
      <c r="G298" t="s">
        <v>85</v>
      </c>
      <c r="H298">
        <f t="shared" si="18"/>
        <v>31.119130999999989</v>
      </c>
      <c r="I298">
        <v>41</v>
      </c>
      <c r="J298">
        <f t="shared" si="17"/>
        <v>1275.8843709999996</v>
      </c>
      <c r="K298">
        <f t="shared" si="16"/>
        <v>1275.8843709999996</v>
      </c>
    </row>
    <row r="299" spans="2:11" x14ac:dyDescent="0.25">
      <c r="B299" s="4">
        <v>45801</v>
      </c>
      <c r="C299" t="s">
        <v>72</v>
      </c>
      <c r="E299" t="s">
        <v>16</v>
      </c>
      <c r="F299">
        <v>277959.96999999997</v>
      </c>
      <c r="G299" t="s">
        <v>85</v>
      </c>
      <c r="H299">
        <f t="shared" si="18"/>
        <v>54.406990999999984</v>
      </c>
      <c r="I299">
        <v>41</v>
      </c>
      <c r="J299">
        <f t="shared" si="17"/>
        <v>2230.6866309999991</v>
      </c>
      <c r="K299">
        <f t="shared" si="16"/>
        <v>2230.6866309999991</v>
      </c>
    </row>
    <row r="300" spans="2:11" x14ac:dyDescent="0.25">
      <c r="B300" s="4">
        <v>45801</v>
      </c>
      <c r="C300" t="s">
        <v>72</v>
      </c>
      <c r="E300" t="s">
        <v>17</v>
      </c>
      <c r="F300">
        <v>274986.81</v>
      </c>
      <c r="G300" t="s">
        <v>85</v>
      </c>
      <c r="H300">
        <f t="shared" si="18"/>
        <v>53.515042999999984</v>
      </c>
      <c r="I300">
        <v>41</v>
      </c>
      <c r="J300">
        <f t="shared" si="17"/>
        <v>2194.1167629999995</v>
      </c>
      <c r="K300">
        <f t="shared" si="16"/>
        <v>2194.1167629999995</v>
      </c>
    </row>
    <row r="301" spans="2:11" x14ac:dyDescent="0.25">
      <c r="B301" s="4">
        <v>45801</v>
      </c>
      <c r="C301" t="s">
        <v>72</v>
      </c>
      <c r="E301" t="s">
        <v>12</v>
      </c>
      <c r="F301">
        <v>335274.34000000003</v>
      </c>
      <c r="G301" t="s">
        <v>85</v>
      </c>
      <c r="H301">
        <f t="shared" si="18"/>
        <v>71.601302000000004</v>
      </c>
      <c r="I301">
        <v>41</v>
      </c>
      <c r="J301">
        <f t="shared" si="17"/>
        <v>2935.653382</v>
      </c>
      <c r="K301">
        <f t="shared" si="16"/>
        <v>2935.653382</v>
      </c>
    </row>
    <row r="302" spans="2:11" x14ac:dyDescent="0.25">
      <c r="B302" s="4">
        <v>45801</v>
      </c>
      <c r="C302" t="s">
        <v>72</v>
      </c>
      <c r="E302" t="s">
        <v>62</v>
      </c>
      <c r="F302">
        <v>317811.40999999997</v>
      </c>
      <c r="G302" t="s">
        <v>85</v>
      </c>
      <c r="H302">
        <f t="shared" si="18"/>
        <v>66.362422999999978</v>
      </c>
      <c r="I302">
        <v>41</v>
      </c>
      <c r="J302">
        <f t="shared" si="17"/>
        <v>2720.8593429999992</v>
      </c>
      <c r="K302">
        <f t="shared" si="16"/>
        <v>2720.8593429999992</v>
      </c>
    </row>
    <row r="303" spans="2:11" x14ac:dyDescent="0.25">
      <c r="B303" s="4">
        <v>45801</v>
      </c>
      <c r="C303" t="s">
        <v>72</v>
      </c>
      <c r="E303" t="s">
        <v>18</v>
      </c>
      <c r="F303">
        <v>264939.75</v>
      </c>
      <c r="G303" t="s">
        <v>85</v>
      </c>
      <c r="H303">
        <f t="shared" si="18"/>
        <v>50.500924999999988</v>
      </c>
      <c r="I303">
        <v>41</v>
      </c>
      <c r="J303">
        <f t="shared" si="17"/>
        <v>2070.5379249999996</v>
      </c>
      <c r="K303">
        <f t="shared" si="16"/>
        <v>2070.5379249999996</v>
      </c>
    </row>
    <row r="304" spans="2:11" x14ac:dyDescent="0.25">
      <c r="B304" s="4">
        <v>45801</v>
      </c>
      <c r="C304" t="s">
        <v>72</v>
      </c>
      <c r="E304" t="s">
        <v>19</v>
      </c>
      <c r="F304">
        <v>215828.89</v>
      </c>
      <c r="G304" t="s">
        <v>85</v>
      </c>
      <c r="H304">
        <f t="shared" si="18"/>
        <v>35.767666999999996</v>
      </c>
      <c r="I304">
        <v>41</v>
      </c>
      <c r="J304">
        <f t="shared" si="17"/>
        <v>1466.4743469999999</v>
      </c>
      <c r="K304">
        <f t="shared" si="16"/>
        <v>1466.4743469999999</v>
      </c>
    </row>
    <row r="305" spans="2:11" x14ac:dyDescent="0.25">
      <c r="B305" s="4">
        <v>45801</v>
      </c>
      <c r="C305" t="s">
        <v>72</v>
      </c>
      <c r="E305" t="s">
        <v>20</v>
      </c>
      <c r="F305">
        <v>238146.89</v>
      </c>
      <c r="G305" t="s">
        <v>85</v>
      </c>
      <c r="H305">
        <f t="shared" si="18"/>
        <v>42.463067000000002</v>
      </c>
      <c r="I305">
        <v>41</v>
      </c>
      <c r="J305">
        <f t="shared" si="17"/>
        <v>1740.9857470000002</v>
      </c>
      <c r="K305">
        <f t="shared" si="16"/>
        <v>1740.9857470000002</v>
      </c>
    </row>
    <row r="306" spans="2:11" x14ac:dyDescent="0.25">
      <c r="B306" s="4">
        <v>45801</v>
      </c>
      <c r="C306" t="s">
        <v>72</v>
      </c>
      <c r="E306" t="s">
        <v>63</v>
      </c>
      <c r="F306">
        <v>220796.56</v>
      </c>
      <c r="G306" t="s">
        <v>85</v>
      </c>
      <c r="H306">
        <f t="shared" si="18"/>
        <v>37.257967999999998</v>
      </c>
      <c r="I306">
        <v>41</v>
      </c>
      <c r="J306">
        <f t="shared" si="17"/>
        <v>1527.5766879999999</v>
      </c>
      <c r="K306">
        <f t="shared" si="16"/>
        <v>1527.5766879999999</v>
      </c>
    </row>
    <row r="307" spans="2:11" x14ac:dyDescent="0.25">
      <c r="B307" s="4">
        <v>45801</v>
      </c>
      <c r="C307" t="s">
        <v>72</v>
      </c>
      <c r="E307" t="s">
        <v>21</v>
      </c>
      <c r="F307">
        <v>318783.78000000003</v>
      </c>
      <c r="G307" t="s">
        <v>85</v>
      </c>
      <c r="H307">
        <f t="shared" si="18"/>
        <v>66.654133999999999</v>
      </c>
      <c r="I307">
        <v>41</v>
      </c>
      <c r="J307">
        <f t="shared" si="17"/>
        <v>2732.8194939999998</v>
      </c>
      <c r="K307">
        <f t="shared" si="16"/>
        <v>2732.8194939999998</v>
      </c>
    </row>
    <row r="308" spans="2:11" x14ac:dyDescent="0.25">
      <c r="B308" s="4">
        <v>45801</v>
      </c>
      <c r="C308" t="s">
        <v>72</v>
      </c>
      <c r="E308" t="s">
        <v>22</v>
      </c>
      <c r="F308">
        <v>341628.56</v>
      </c>
      <c r="G308" t="s">
        <v>85</v>
      </c>
      <c r="H308">
        <f t="shared" si="18"/>
        <v>73.507567999999992</v>
      </c>
      <c r="I308">
        <v>41</v>
      </c>
      <c r="J308">
        <f t="shared" si="17"/>
        <v>3013.8102879999997</v>
      </c>
      <c r="K308">
        <f t="shared" si="16"/>
        <v>3013.8102879999997</v>
      </c>
    </row>
    <row r="309" spans="2:11" x14ac:dyDescent="0.25">
      <c r="B309" s="4">
        <v>45801</v>
      </c>
      <c r="C309" t="s">
        <v>72</v>
      </c>
      <c r="E309" t="s">
        <v>23</v>
      </c>
      <c r="F309">
        <v>398583.47</v>
      </c>
      <c r="G309" t="s">
        <v>85</v>
      </c>
      <c r="H309">
        <f t="shared" si="18"/>
        <v>90.594040999999976</v>
      </c>
      <c r="I309">
        <v>41</v>
      </c>
      <c r="J309">
        <f t="shared" si="17"/>
        <v>3714.3556809999991</v>
      </c>
      <c r="K309">
        <f t="shared" si="16"/>
        <v>3714.3556809999991</v>
      </c>
    </row>
    <row r="310" spans="2:11" x14ac:dyDescent="0.25">
      <c r="B310" s="4">
        <v>45801</v>
      </c>
      <c r="C310" t="s">
        <v>72</v>
      </c>
      <c r="E310" t="s">
        <v>64</v>
      </c>
      <c r="F310">
        <v>210535.69</v>
      </c>
      <c r="G310" t="s">
        <v>85</v>
      </c>
      <c r="H310">
        <f t="shared" si="18"/>
        <v>34.179706999999993</v>
      </c>
      <c r="I310">
        <v>41</v>
      </c>
      <c r="J310">
        <f t="shared" si="17"/>
        <v>1401.3679869999996</v>
      </c>
      <c r="K310">
        <f t="shared" si="16"/>
        <v>1401.3679869999996</v>
      </c>
    </row>
    <row r="311" spans="2:11" x14ac:dyDescent="0.25">
      <c r="B311" s="4">
        <v>45801</v>
      </c>
      <c r="C311" t="s">
        <v>72</v>
      </c>
      <c r="E311" t="s">
        <v>24</v>
      </c>
      <c r="F311">
        <v>267002.06</v>
      </c>
      <c r="G311" t="s">
        <v>85</v>
      </c>
      <c r="H311">
        <f t="shared" si="18"/>
        <v>51.119617999999996</v>
      </c>
      <c r="I311">
        <v>41</v>
      </c>
      <c r="J311">
        <f t="shared" si="17"/>
        <v>2095.9043379999998</v>
      </c>
      <c r="K311">
        <f t="shared" si="16"/>
        <v>2095.9043379999998</v>
      </c>
    </row>
    <row r="312" spans="2:11" x14ac:dyDescent="0.25">
      <c r="B312" s="4">
        <v>45801</v>
      </c>
      <c r="C312" t="s">
        <v>72</v>
      </c>
      <c r="E312" t="s">
        <v>25</v>
      </c>
      <c r="F312">
        <v>233200.92</v>
      </c>
      <c r="G312" t="s">
        <v>85</v>
      </c>
      <c r="H312">
        <f t="shared" si="18"/>
        <v>40.979275999999992</v>
      </c>
      <c r="I312">
        <v>41</v>
      </c>
      <c r="J312">
        <f t="shared" si="17"/>
        <v>1680.1503159999997</v>
      </c>
      <c r="K312">
        <f t="shared" si="16"/>
        <v>1680.1503159999997</v>
      </c>
    </row>
    <row r="313" spans="2:11" x14ac:dyDescent="0.25">
      <c r="B313" s="4">
        <v>45801</v>
      </c>
      <c r="C313" t="s">
        <v>72</v>
      </c>
      <c r="E313" t="s">
        <v>26</v>
      </c>
      <c r="F313">
        <v>282902.03000000003</v>
      </c>
      <c r="G313" t="s">
        <v>85</v>
      </c>
      <c r="H313">
        <f t="shared" si="18"/>
        <v>55.889609</v>
      </c>
      <c r="I313">
        <v>41</v>
      </c>
      <c r="J313">
        <f t="shared" si="17"/>
        <v>2291.4739690000001</v>
      </c>
      <c r="K313">
        <f t="shared" si="16"/>
        <v>2291.4739690000001</v>
      </c>
    </row>
    <row r="314" spans="2:11" x14ac:dyDescent="0.25">
      <c r="B314" s="4">
        <v>45801</v>
      </c>
      <c r="C314" t="s">
        <v>72</v>
      </c>
      <c r="E314" t="s">
        <v>65</v>
      </c>
      <c r="F314">
        <v>236095.53</v>
      </c>
      <c r="G314" t="s">
        <v>85</v>
      </c>
      <c r="H314">
        <f t="shared" si="18"/>
        <v>41.847658999999986</v>
      </c>
      <c r="I314">
        <v>41</v>
      </c>
      <c r="J314">
        <f t="shared" si="17"/>
        <v>1715.7540189999995</v>
      </c>
      <c r="K314">
        <f t="shared" si="16"/>
        <v>1715.7540189999995</v>
      </c>
    </row>
    <row r="315" spans="2:11" x14ac:dyDescent="0.25">
      <c r="B315" s="4">
        <v>45801</v>
      </c>
      <c r="C315" t="s">
        <v>72</v>
      </c>
      <c r="E315" t="s">
        <v>27</v>
      </c>
      <c r="F315">
        <v>207485.92</v>
      </c>
      <c r="G315" t="s">
        <v>85</v>
      </c>
      <c r="H315">
        <f t="shared" si="18"/>
        <v>33.264775999999998</v>
      </c>
      <c r="I315">
        <v>41</v>
      </c>
      <c r="J315">
        <f t="shared" si="17"/>
        <v>1363.855816</v>
      </c>
      <c r="K315">
        <f t="shared" si="16"/>
        <v>1363.855816</v>
      </c>
    </row>
    <row r="316" spans="2:11" x14ac:dyDescent="0.25">
      <c r="B316" s="4">
        <v>45801</v>
      </c>
      <c r="C316" t="s">
        <v>72</v>
      </c>
      <c r="E316" t="s">
        <v>28</v>
      </c>
      <c r="F316">
        <v>180377.94</v>
      </c>
      <c r="G316" t="s">
        <v>85</v>
      </c>
      <c r="H316">
        <f t="shared" si="18"/>
        <v>25.132381999999993</v>
      </c>
      <c r="I316">
        <v>41</v>
      </c>
      <c r="J316">
        <f t="shared" si="17"/>
        <v>1030.4276619999996</v>
      </c>
      <c r="K316">
        <f t="shared" si="16"/>
        <v>1030.4276619999996</v>
      </c>
    </row>
    <row r="317" spans="2:11" x14ac:dyDescent="0.25">
      <c r="B317" s="4">
        <v>45801</v>
      </c>
      <c r="C317" t="s">
        <v>72</v>
      </c>
      <c r="E317" t="s">
        <v>29</v>
      </c>
      <c r="F317">
        <v>172510.75</v>
      </c>
      <c r="G317" t="s">
        <v>85</v>
      </c>
      <c r="H317">
        <f t="shared" si="18"/>
        <v>22.772224999999992</v>
      </c>
      <c r="I317">
        <v>41</v>
      </c>
      <c r="J317">
        <f t="shared" si="17"/>
        <v>933.6612249999996</v>
      </c>
      <c r="K317">
        <f t="shared" si="16"/>
        <v>933.6612249999996</v>
      </c>
    </row>
    <row r="318" spans="2:11" x14ac:dyDescent="0.25">
      <c r="B318" s="4">
        <v>45801</v>
      </c>
      <c r="C318" t="s">
        <v>72</v>
      </c>
      <c r="E318" t="s">
        <v>66</v>
      </c>
      <c r="F318">
        <v>187838.86</v>
      </c>
      <c r="G318" t="s">
        <v>85</v>
      </c>
      <c r="H318">
        <f t="shared" si="18"/>
        <v>27.370657999999992</v>
      </c>
      <c r="I318">
        <v>41</v>
      </c>
      <c r="J318">
        <f t="shared" si="17"/>
        <v>1122.1969779999997</v>
      </c>
      <c r="K318">
        <f t="shared" si="16"/>
        <v>1122.1969779999997</v>
      </c>
    </row>
    <row r="319" spans="2:11" x14ac:dyDescent="0.25">
      <c r="B319" s="4">
        <v>45814</v>
      </c>
      <c r="C319" s="2" t="s">
        <v>321</v>
      </c>
      <c r="E319" t="s">
        <v>73</v>
      </c>
      <c r="F319">
        <v>281516.62</v>
      </c>
      <c r="G319" t="s">
        <v>85</v>
      </c>
      <c r="H319">
        <f t="shared" si="18"/>
        <v>55.473985999999989</v>
      </c>
      <c r="I319">
        <v>41</v>
      </c>
      <c r="J319">
        <f t="shared" si="17"/>
        <v>2274.4334259999996</v>
      </c>
      <c r="K319">
        <f t="shared" si="16"/>
        <v>2274.4334259999996</v>
      </c>
    </row>
    <row r="320" spans="2:11" x14ac:dyDescent="0.25">
      <c r="B320" s="4">
        <v>45814</v>
      </c>
      <c r="C320" s="2" t="s">
        <v>321</v>
      </c>
      <c r="E320" t="s">
        <v>74</v>
      </c>
      <c r="F320">
        <v>216569.56</v>
      </c>
      <c r="G320" t="s">
        <v>85</v>
      </c>
      <c r="H320">
        <f t="shared" si="18"/>
        <v>35.989867999999994</v>
      </c>
      <c r="I320">
        <v>41</v>
      </c>
      <c r="J320">
        <f t="shared" si="17"/>
        <v>1475.5845879999997</v>
      </c>
      <c r="K320">
        <f t="shared" si="16"/>
        <v>1475.5845879999997</v>
      </c>
    </row>
    <row r="321" spans="2:11" x14ac:dyDescent="0.25">
      <c r="B321" s="4">
        <v>45814</v>
      </c>
      <c r="C321" s="2" t="s">
        <v>321</v>
      </c>
      <c r="E321" t="s">
        <v>75</v>
      </c>
      <c r="F321">
        <v>374488.09</v>
      </c>
      <c r="G321" t="s">
        <v>85</v>
      </c>
      <c r="H321">
        <f t="shared" si="18"/>
        <v>83.365426999999983</v>
      </c>
      <c r="I321">
        <v>41</v>
      </c>
      <c r="J321">
        <f t="shared" si="17"/>
        <v>3417.9825069999993</v>
      </c>
      <c r="K321">
        <f t="shared" si="16"/>
        <v>3417.9825069999993</v>
      </c>
    </row>
    <row r="322" spans="2:11" x14ac:dyDescent="0.25">
      <c r="B322" s="4">
        <v>45814</v>
      </c>
      <c r="C322" s="2" t="s">
        <v>321</v>
      </c>
      <c r="E322" t="s">
        <v>76</v>
      </c>
      <c r="F322">
        <v>147852.22</v>
      </c>
      <c r="G322" t="s">
        <v>85</v>
      </c>
      <c r="H322">
        <f t="shared" si="18"/>
        <v>15.374665999999998</v>
      </c>
      <c r="I322">
        <v>41</v>
      </c>
      <c r="J322">
        <f t="shared" si="17"/>
        <v>630.3613059999999</v>
      </c>
      <c r="K322">
        <f t="shared" si="16"/>
        <v>630.3613059999999</v>
      </c>
    </row>
    <row r="323" spans="2:11" x14ac:dyDescent="0.25">
      <c r="B323" s="4">
        <v>45814</v>
      </c>
      <c r="C323" s="2" t="s">
        <v>321</v>
      </c>
      <c r="E323" t="s">
        <v>77</v>
      </c>
      <c r="F323">
        <v>225589.73</v>
      </c>
      <c r="G323" t="s">
        <v>85</v>
      </c>
      <c r="H323">
        <f t="shared" si="18"/>
        <v>38.695918999999996</v>
      </c>
      <c r="I323">
        <v>41</v>
      </c>
      <c r="J323">
        <f t="shared" si="17"/>
        <v>1586.5326789999999</v>
      </c>
      <c r="K323">
        <f t="shared" ref="K323:K386" si="19">MAX(J323,0)</f>
        <v>1586.5326789999999</v>
      </c>
    </row>
    <row r="324" spans="2:11" x14ac:dyDescent="0.25">
      <c r="B324" s="4">
        <v>45814</v>
      </c>
      <c r="C324" s="2" t="s">
        <v>321</v>
      </c>
      <c r="E324" t="s">
        <v>78</v>
      </c>
      <c r="F324">
        <v>196514.59</v>
      </c>
      <c r="G324" t="s">
        <v>85</v>
      </c>
      <c r="H324">
        <f t="shared" si="18"/>
        <v>29.973376999999992</v>
      </c>
      <c r="I324">
        <v>41</v>
      </c>
      <c r="J324">
        <f t="shared" si="17"/>
        <v>1228.9084569999998</v>
      </c>
      <c r="K324">
        <f t="shared" si="19"/>
        <v>1228.9084569999998</v>
      </c>
    </row>
    <row r="325" spans="2:11" x14ac:dyDescent="0.25">
      <c r="B325" s="4">
        <v>45814</v>
      </c>
      <c r="C325" s="2" t="s">
        <v>321</v>
      </c>
      <c r="E325" t="s">
        <v>79</v>
      </c>
      <c r="F325">
        <v>334864.46999999997</v>
      </c>
      <c r="G325" t="s">
        <v>85</v>
      </c>
      <c r="H325">
        <f t="shared" si="18"/>
        <v>71.478340999999972</v>
      </c>
      <c r="I325">
        <v>41</v>
      </c>
      <c r="J325">
        <f t="shared" si="17"/>
        <v>2930.6119809999987</v>
      </c>
      <c r="K325">
        <f t="shared" si="19"/>
        <v>2930.6119809999987</v>
      </c>
    </row>
    <row r="326" spans="2:11" x14ac:dyDescent="0.25">
      <c r="B326" s="4">
        <v>45814</v>
      </c>
      <c r="C326" s="2" t="s">
        <v>321</v>
      </c>
      <c r="E326" t="s">
        <v>80</v>
      </c>
      <c r="F326">
        <v>214676.91</v>
      </c>
      <c r="G326" t="s">
        <v>85</v>
      </c>
      <c r="H326">
        <f t="shared" si="18"/>
        <v>35.42207299999999</v>
      </c>
      <c r="I326">
        <v>41</v>
      </c>
      <c r="J326">
        <f t="shared" si="17"/>
        <v>1452.3049929999995</v>
      </c>
      <c r="K326">
        <f t="shared" si="19"/>
        <v>1452.3049929999995</v>
      </c>
    </row>
    <row r="327" spans="2:11" x14ac:dyDescent="0.25">
      <c r="B327" s="4">
        <v>45814</v>
      </c>
      <c r="C327" s="2" t="s">
        <v>321</v>
      </c>
      <c r="E327" t="s">
        <v>81</v>
      </c>
      <c r="F327">
        <v>309825.81</v>
      </c>
      <c r="G327" t="s">
        <v>85</v>
      </c>
      <c r="H327">
        <f t="shared" si="18"/>
        <v>63.966742999999987</v>
      </c>
      <c r="I327">
        <v>41</v>
      </c>
      <c r="J327">
        <f t="shared" si="17"/>
        <v>2622.6364629999994</v>
      </c>
      <c r="K327">
        <f t="shared" si="19"/>
        <v>2622.6364629999994</v>
      </c>
    </row>
    <row r="328" spans="2:11" x14ac:dyDescent="0.25">
      <c r="B328" s="4">
        <v>45814</v>
      </c>
      <c r="C328" s="2" t="s">
        <v>321</v>
      </c>
      <c r="D328" t="s">
        <v>67</v>
      </c>
      <c r="E328">
        <v>1</v>
      </c>
      <c r="F328">
        <v>371056.12</v>
      </c>
      <c r="G328" t="s">
        <v>85</v>
      </c>
      <c r="H328">
        <f t="shared" si="18"/>
        <v>82.335836</v>
      </c>
      <c r="I328">
        <v>1</v>
      </c>
      <c r="J328">
        <f t="shared" si="17"/>
        <v>82.335836</v>
      </c>
      <c r="K328">
        <f t="shared" si="19"/>
        <v>82.335836</v>
      </c>
    </row>
    <row r="329" spans="2:11" x14ac:dyDescent="0.25">
      <c r="B329" s="4">
        <v>45814</v>
      </c>
      <c r="C329" s="2" t="s">
        <v>321</v>
      </c>
      <c r="D329" t="s">
        <v>67</v>
      </c>
      <c r="E329">
        <v>2</v>
      </c>
      <c r="F329">
        <v>398099.75</v>
      </c>
      <c r="G329" t="s">
        <v>85</v>
      </c>
      <c r="H329">
        <f t="shared" si="18"/>
        <v>90.448924999999974</v>
      </c>
      <c r="I329">
        <v>1</v>
      </c>
      <c r="J329">
        <f t="shared" si="17"/>
        <v>90.448924999999974</v>
      </c>
      <c r="K329">
        <f t="shared" si="19"/>
        <v>90.448924999999974</v>
      </c>
    </row>
    <row r="330" spans="2:11" x14ac:dyDescent="0.25">
      <c r="B330" s="4">
        <v>45814</v>
      </c>
      <c r="C330" s="2" t="s">
        <v>321</v>
      </c>
      <c r="D330" t="s">
        <v>67</v>
      </c>
      <c r="E330">
        <v>3</v>
      </c>
      <c r="F330">
        <v>218951.38</v>
      </c>
      <c r="G330" t="s">
        <v>85</v>
      </c>
      <c r="H330">
        <f t="shared" si="18"/>
        <v>36.704413999999993</v>
      </c>
      <c r="I330">
        <v>1</v>
      </c>
      <c r="J330">
        <f t="shared" si="17"/>
        <v>36.704413999999993</v>
      </c>
      <c r="K330">
        <f t="shared" si="19"/>
        <v>36.704413999999993</v>
      </c>
    </row>
    <row r="331" spans="2:11" x14ac:dyDescent="0.25">
      <c r="B331" s="4">
        <v>45814</v>
      </c>
      <c r="C331" s="2" t="s">
        <v>322</v>
      </c>
      <c r="E331" t="s">
        <v>73</v>
      </c>
      <c r="F331">
        <v>410190.81</v>
      </c>
      <c r="G331" t="s">
        <v>85</v>
      </c>
      <c r="H331">
        <f t="shared" si="18"/>
        <v>94.076242999999977</v>
      </c>
      <c r="I331">
        <v>41</v>
      </c>
      <c r="J331">
        <f t="shared" si="17"/>
        <v>3857.125962999999</v>
      </c>
      <c r="K331">
        <f t="shared" si="19"/>
        <v>3857.125962999999</v>
      </c>
    </row>
    <row r="332" spans="2:11" x14ac:dyDescent="0.25">
      <c r="B332" s="4">
        <v>45814</v>
      </c>
      <c r="C332" s="2" t="s">
        <v>322</v>
      </c>
      <c r="E332" t="s">
        <v>74</v>
      </c>
      <c r="F332">
        <v>208111.08</v>
      </c>
      <c r="G332" t="s">
        <v>85</v>
      </c>
      <c r="H332">
        <f t="shared" si="18"/>
        <v>33.45232399999999</v>
      </c>
      <c r="I332">
        <v>41</v>
      </c>
      <c r="J332">
        <f t="shared" si="17"/>
        <v>1371.5452839999996</v>
      </c>
      <c r="K332">
        <f t="shared" si="19"/>
        <v>1371.5452839999996</v>
      </c>
    </row>
    <row r="333" spans="2:11" x14ac:dyDescent="0.25">
      <c r="B333" s="4">
        <v>45814</v>
      </c>
      <c r="C333" s="2" t="s">
        <v>322</v>
      </c>
      <c r="E333" t="s">
        <v>75</v>
      </c>
      <c r="F333">
        <v>244608.42</v>
      </c>
      <c r="G333" t="s">
        <v>85</v>
      </c>
      <c r="H333">
        <f t="shared" si="18"/>
        <v>44.401525999999997</v>
      </c>
      <c r="I333">
        <v>41</v>
      </c>
      <c r="J333">
        <f t="shared" si="17"/>
        <v>1820.4625659999999</v>
      </c>
      <c r="K333">
        <f t="shared" si="19"/>
        <v>1820.4625659999999</v>
      </c>
    </row>
    <row r="334" spans="2:11" x14ac:dyDescent="0.25">
      <c r="B334" s="4">
        <v>45814</v>
      </c>
      <c r="C334" s="2" t="s">
        <v>322</v>
      </c>
      <c r="E334" t="s">
        <v>76</v>
      </c>
      <c r="F334">
        <v>265969.44</v>
      </c>
      <c r="G334" t="s">
        <v>85</v>
      </c>
      <c r="H334">
        <f t="shared" si="18"/>
        <v>50.809831999999993</v>
      </c>
      <c r="I334">
        <v>41</v>
      </c>
      <c r="J334">
        <f t="shared" si="17"/>
        <v>2083.2031119999997</v>
      </c>
      <c r="K334">
        <f t="shared" si="19"/>
        <v>2083.2031119999997</v>
      </c>
    </row>
    <row r="335" spans="2:11" x14ac:dyDescent="0.25">
      <c r="B335" s="4">
        <v>45814</v>
      </c>
      <c r="C335" s="2" t="s">
        <v>322</v>
      </c>
      <c r="E335" t="s">
        <v>77</v>
      </c>
      <c r="F335">
        <v>313631.65999999997</v>
      </c>
      <c r="G335" t="s">
        <v>85</v>
      </c>
      <c r="H335">
        <f t="shared" si="18"/>
        <v>65.108497999999969</v>
      </c>
      <c r="I335">
        <v>41</v>
      </c>
      <c r="J335">
        <f t="shared" si="17"/>
        <v>2669.4484179999986</v>
      </c>
      <c r="K335">
        <f t="shared" si="19"/>
        <v>2669.4484179999986</v>
      </c>
    </row>
    <row r="336" spans="2:11" x14ac:dyDescent="0.25">
      <c r="B336" s="4">
        <v>45814</v>
      </c>
      <c r="C336" s="2" t="s">
        <v>322</v>
      </c>
      <c r="E336" t="s">
        <v>78</v>
      </c>
      <c r="F336">
        <v>251511.67</v>
      </c>
      <c r="G336" t="s">
        <v>85</v>
      </c>
      <c r="H336">
        <f t="shared" si="18"/>
        <v>46.472501000000001</v>
      </c>
      <c r="I336">
        <v>41</v>
      </c>
      <c r="J336">
        <f t="shared" si="17"/>
        <v>1905.372541</v>
      </c>
      <c r="K336">
        <f t="shared" si="19"/>
        <v>1905.372541</v>
      </c>
    </row>
    <row r="337" spans="2:11" x14ac:dyDescent="0.25">
      <c r="B337" s="4">
        <v>45814</v>
      </c>
      <c r="C337" s="2" t="s">
        <v>322</v>
      </c>
      <c r="E337" t="s">
        <v>79</v>
      </c>
      <c r="F337">
        <v>235467.64</v>
      </c>
      <c r="G337" t="s">
        <v>85</v>
      </c>
      <c r="H337">
        <f t="shared" si="18"/>
        <v>41.659292000000001</v>
      </c>
      <c r="I337">
        <v>41</v>
      </c>
      <c r="J337">
        <f t="shared" si="17"/>
        <v>1708.030972</v>
      </c>
      <c r="K337">
        <f t="shared" si="19"/>
        <v>1708.030972</v>
      </c>
    </row>
    <row r="338" spans="2:11" x14ac:dyDescent="0.25">
      <c r="B338" s="4">
        <v>45814</v>
      </c>
      <c r="C338" s="2" t="s">
        <v>322</v>
      </c>
      <c r="E338" t="s">
        <v>80</v>
      </c>
      <c r="F338">
        <v>231676.84</v>
      </c>
      <c r="G338" t="s">
        <v>85</v>
      </c>
      <c r="H338">
        <f t="shared" si="18"/>
        <v>40.522051999999995</v>
      </c>
      <c r="I338">
        <v>41</v>
      </c>
      <c r="J338">
        <f t="shared" si="17"/>
        <v>1661.4041319999999</v>
      </c>
      <c r="K338">
        <f t="shared" si="19"/>
        <v>1661.4041319999999</v>
      </c>
    </row>
    <row r="339" spans="2:11" x14ac:dyDescent="0.25">
      <c r="B339" s="4">
        <v>45814</v>
      </c>
      <c r="C339" s="2" t="s">
        <v>322</v>
      </c>
      <c r="E339" t="s">
        <v>81</v>
      </c>
      <c r="F339">
        <v>276349.65999999997</v>
      </c>
      <c r="G339" t="s">
        <v>85</v>
      </c>
      <c r="H339">
        <f t="shared" si="18"/>
        <v>53.923897999999987</v>
      </c>
      <c r="I339">
        <v>41</v>
      </c>
      <c r="J339">
        <f t="shared" si="17"/>
        <v>2210.8798179999994</v>
      </c>
      <c r="K339">
        <f t="shared" si="19"/>
        <v>2210.8798179999994</v>
      </c>
    </row>
    <row r="340" spans="2:11" x14ac:dyDescent="0.25">
      <c r="B340" s="4">
        <v>45814</v>
      </c>
      <c r="C340" s="2" t="s">
        <v>322</v>
      </c>
      <c r="D340" t="s">
        <v>67</v>
      </c>
      <c r="E340">
        <v>1</v>
      </c>
      <c r="F340">
        <v>333221</v>
      </c>
      <c r="G340" t="s">
        <v>85</v>
      </c>
      <c r="H340">
        <f t="shared" si="18"/>
        <v>70.985299999999995</v>
      </c>
      <c r="I340">
        <v>1</v>
      </c>
      <c r="J340">
        <f t="shared" si="17"/>
        <v>70.985299999999995</v>
      </c>
      <c r="K340">
        <f t="shared" si="19"/>
        <v>70.985299999999995</v>
      </c>
    </row>
    <row r="341" spans="2:11" x14ac:dyDescent="0.25">
      <c r="B341" s="4">
        <v>45814</v>
      </c>
      <c r="C341" s="2" t="s">
        <v>322</v>
      </c>
      <c r="D341" t="s">
        <v>67</v>
      </c>
      <c r="E341">
        <v>2</v>
      </c>
      <c r="F341">
        <v>270717.56</v>
      </c>
      <c r="G341" t="s">
        <v>85</v>
      </c>
      <c r="H341">
        <f t="shared" si="18"/>
        <v>52.234267999999993</v>
      </c>
      <c r="I341">
        <v>1</v>
      </c>
      <c r="J341">
        <f t="shared" si="17"/>
        <v>52.234267999999993</v>
      </c>
      <c r="K341">
        <f t="shared" si="19"/>
        <v>52.234267999999993</v>
      </c>
    </row>
    <row r="342" spans="2:11" x14ac:dyDescent="0.25">
      <c r="B342" s="4">
        <v>45814</v>
      </c>
      <c r="C342" s="2" t="s">
        <v>322</v>
      </c>
      <c r="D342" t="s">
        <v>67</v>
      </c>
      <c r="E342">
        <v>3</v>
      </c>
      <c r="F342">
        <v>215129.31</v>
      </c>
      <c r="G342" t="s">
        <v>85</v>
      </c>
      <c r="H342">
        <f t="shared" si="18"/>
        <v>35.557792999999997</v>
      </c>
      <c r="I342">
        <v>1</v>
      </c>
      <c r="J342">
        <f t="shared" si="17"/>
        <v>35.557792999999997</v>
      </c>
      <c r="K342">
        <f t="shared" si="19"/>
        <v>35.557792999999997</v>
      </c>
    </row>
    <row r="343" spans="2:11" x14ac:dyDescent="0.25">
      <c r="B343" s="4">
        <v>45814</v>
      </c>
      <c r="C343" s="2" t="s">
        <v>323</v>
      </c>
      <c r="E343" t="s">
        <v>73</v>
      </c>
      <c r="F343">
        <v>201630.72</v>
      </c>
      <c r="G343" t="s">
        <v>85</v>
      </c>
      <c r="H343">
        <f t="shared" si="18"/>
        <v>31.50821599999999</v>
      </c>
      <c r="I343">
        <v>41</v>
      </c>
      <c r="J343">
        <f t="shared" si="17"/>
        <v>1291.8368559999997</v>
      </c>
      <c r="K343">
        <f t="shared" si="19"/>
        <v>1291.8368559999997</v>
      </c>
    </row>
    <row r="344" spans="2:11" x14ac:dyDescent="0.25">
      <c r="B344" s="4">
        <v>45814</v>
      </c>
      <c r="C344" s="2" t="s">
        <v>323</v>
      </c>
      <c r="E344" t="s">
        <v>74</v>
      </c>
      <c r="F344">
        <v>164353.09</v>
      </c>
      <c r="G344" t="s">
        <v>85</v>
      </c>
      <c r="H344">
        <f t="shared" si="18"/>
        <v>20.324926999999995</v>
      </c>
      <c r="I344">
        <v>41</v>
      </c>
      <c r="J344">
        <f t="shared" si="17"/>
        <v>833.32200699999976</v>
      </c>
      <c r="K344">
        <f t="shared" si="19"/>
        <v>833.32200699999976</v>
      </c>
    </row>
    <row r="345" spans="2:11" x14ac:dyDescent="0.25">
      <c r="B345" s="4">
        <v>45814</v>
      </c>
      <c r="C345" s="2" t="s">
        <v>323</v>
      </c>
      <c r="E345" t="s">
        <v>75</v>
      </c>
      <c r="F345">
        <v>170613.59</v>
      </c>
      <c r="G345" t="s">
        <v>85</v>
      </c>
      <c r="H345">
        <f t="shared" si="18"/>
        <v>22.203076999999993</v>
      </c>
      <c r="I345">
        <v>41</v>
      </c>
      <c r="J345">
        <f t="shared" si="17"/>
        <v>910.32615699999974</v>
      </c>
      <c r="K345">
        <f t="shared" si="19"/>
        <v>910.32615699999974</v>
      </c>
    </row>
    <row r="346" spans="2:11" x14ac:dyDescent="0.25">
      <c r="B346" s="4">
        <v>45814</v>
      </c>
      <c r="C346" s="2" t="s">
        <v>323</v>
      </c>
      <c r="D346" t="s">
        <v>67</v>
      </c>
      <c r="E346">
        <v>1</v>
      </c>
      <c r="F346">
        <v>184656.98</v>
      </c>
      <c r="G346" t="s">
        <v>85</v>
      </c>
      <c r="H346">
        <f t="shared" si="18"/>
        <v>26.416093999999994</v>
      </c>
      <c r="I346">
        <v>1</v>
      </c>
      <c r="J346">
        <f t="shared" si="17"/>
        <v>26.416093999999994</v>
      </c>
      <c r="K346">
        <f t="shared" si="19"/>
        <v>26.416093999999994</v>
      </c>
    </row>
    <row r="347" spans="2:11" x14ac:dyDescent="0.25">
      <c r="B347" s="4">
        <v>45814</v>
      </c>
      <c r="C347" s="2" t="s">
        <v>323</v>
      </c>
      <c r="D347" t="s">
        <v>67</v>
      </c>
      <c r="E347">
        <v>2</v>
      </c>
      <c r="F347">
        <v>184697.45</v>
      </c>
      <c r="G347" t="s">
        <v>85</v>
      </c>
      <c r="H347">
        <f t="shared" si="18"/>
        <v>26.428234999999994</v>
      </c>
      <c r="I347">
        <v>1</v>
      </c>
      <c r="J347">
        <f t="shared" si="17"/>
        <v>26.428234999999994</v>
      </c>
      <c r="K347">
        <f t="shared" si="19"/>
        <v>26.428234999999994</v>
      </c>
    </row>
    <row r="348" spans="2:11" x14ac:dyDescent="0.25">
      <c r="B348" s="4">
        <v>45814</v>
      </c>
      <c r="C348" s="2" t="s">
        <v>323</v>
      </c>
      <c r="D348" t="s">
        <v>67</v>
      </c>
      <c r="E348">
        <v>3</v>
      </c>
      <c r="F348">
        <v>473303.53</v>
      </c>
      <c r="G348" t="s">
        <v>85</v>
      </c>
      <c r="H348">
        <f t="shared" si="18"/>
        <v>113.01005900000001</v>
      </c>
      <c r="I348">
        <v>1</v>
      </c>
      <c r="J348">
        <f t="shared" si="17"/>
        <v>113.01005900000001</v>
      </c>
      <c r="K348">
        <f t="shared" si="19"/>
        <v>113.01005900000001</v>
      </c>
    </row>
    <row r="349" spans="2:11" x14ac:dyDescent="0.25">
      <c r="B349" s="4">
        <v>45815</v>
      </c>
      <c r="C349" t="s">
        <v>70</v>
      </c>
      <c r="E349" t="s">
        <v>13</v>
      </c>
      <c r="F349">
        <v>272504.78000000003</v>
      </c>
      <c r="G349" t="s">
        <v>85</v>
      </c>
      <c r="H349">
        <f t="shared" si="18"/>
        <v>52.770434000000002</v>
      </c>
      <c r="I349">
        <v>41</v>
      </c>
      <c r="J349">
        <f t="shared" si="17"/>
        <v>2163.587794</v>
      </c>
      <c r="K349">
        <f t="shared" si="19"/>
        <v>2163.587794</v>
      </c>
    </row>
    <row r="350" spans="2:11" x14ac:dyDescent="0.25">
      <c r="B350" s="4">
        <v>45815</v>
      </c>
      <c r="C350" t="s">
        <v>70</v>
      </c>
      <c r="E350" t="s">
        <v>14</v>
      </c>
      <c r="F350">
        <v>296461.06</v>
      </c>
      <c r="G350" t="s">
        <v>85</v>
      </c>
      <c r="H350">
        <f t="shared" si="18"/>
        <v>59.957317999999994</v>
      </c>
      <c r="I350">
        <v>41</v>
      </c>
      <c r="J350">
        <f t="shared" si="17"/>
        <v>2458.2500379999997</v>
      </c>
      <c r="K350">
        <f t="shared" si="19"/>
        <v>2458.2500379999997</v>
      </c>
    </row>
    <row r="351" spans="2:11" x14ac:dyDescent="0.25">
      <c r="B351" s="4">
        <v>45815</v>
      </c>
      <c r="C351" t="s">
        <v>70</v>
      </c>
      <c r="E351" t="s">
        <v>15</v>
      </c>
      <c r="F351">
        <v>285530.19</v>
      </c>
      <c r="G351" t="s">
        <v>85</v>
      </c>
      <c r="H351">
        <f t="shared" si="18"/>
        <v>56.678056999999988</v>
      </c>
      <c r="I351">
        <v>41</v>
      </c>
      <c r="J351">
        <f t="shared" si="17"/>
        <v>2323.8003369999997</v>
      </c>
      <c r="K351">
        <f t="shared" si="19"/>
        <v>2323.8003369999997</v>
      </c>
    </row>
    <row r="352" spans="2:11" x14ac:dyDescent="0.25">
      <c r="B352" s="4">
        <v>45815</v>
      </c>
      <c r="C352" t="s">
        <v>70</v>
      </c>
      <c r="E352" t="s">
        <v>61</v>
      </c>
      <c r="F352">
        <v>242700.91</v>
      </c>
      <c r="G352" t="s">
        <v>85</v>
      </c>
      <c r="H352">
        <f t="shared" si="18"/>
        <v>43.829272999999993</v>
      </c>
      <c r="I352">
        <v>41</v>
      </c>
      <c r="J352">
        <f t="shared" ref="J352:J415" si="20">H352*I352</f>
        <v>1797.0001929999996</v>
      </c>
      <c r="K352">
        <f t="shared" si="19"/>
        <v>1797.0001929999996</v>
      </c>
    </row>
    <row r="353" spans="2:11" x14ac:dyDescent="0.25">
      <c r="B353" s="4">
        <v>45815</v>
      </c>
      <c r="C353" t="s">
        <v>70</v>
      </c>
      <c r="E353" t="s">
        <v>16</v>
      </c>
      <c r="F353">
        <v>209653.27</v>
      </c>
      <c r="G353" t="s">
        <v>85</v>
      </c>
      <c r="H353">
        <f t="shared" si="18"/>
        <v>33.91498099999999</v>
      </c>
      <c r="I353">
        <v>41</v>
      </c>
      <c r="J353">
        <f t="shared" si="20"/>
        <v>1390.5142209999997</v>
      </c>
      <c r="K353">
        <f t="shared" si="19"/>
        <v>1390.5142209999997</v>
      </c>
    </row>
    <row r="354" spans="2:11" x14ac:dyDescent="0.25">
      <c r="B354" s="4">
        <v>45815</v>
      </c>
      <c r="C354" t="s">
        <v>70</v>
      </c>
      <c r="E354" t="s">
        <v>17</v>
      </c>
      <c r="F354">
        <v>163963.07999999999</v>
      </c>
      <c r="G354" t="s">
        <v>85</v>
      </c>
      <c r="H354">
        <f t="shared" ref="H354:H417" si="21">(0.0003*F354)-28.981</f>
        <v>20.207923999999991</v>
      </c>
      <c r="I354">
        <v>41</v>
      </c>
      <c r="J354">
        <f t="shared" si="20"/>
        <v>828.5248839999997</v>
      </c>
      <c r="K354">
        <f t="shared" si="19"/>
        <v>828.5248839999997</v>
      </c>
    </row>
    <row r="355" spans="2:11" x14ac:dyDescent="0.25">
      <c r="B355" s="4">
        <v>45815</v>
      </c>
      <c r="C355" t="s">
        <v>70</v>
      </c>
      <c r="E355" t="s">
        <v>12</v>
      </c>
      <c r="F355">
        <v>350380.28</v>
      </c>
      <c r="G355" t="s">
        <v>85</v>
      </c>
      <c r="H355">
        <f t="shared" si="21"/>
        <v>76.133083999999997</v>
      </c>
      <c r="I355">
        <v>41</v>
      </c>
      <c r="J355">
        <f t="shared" si="20"/>
        <v>3121.4564439999999</v>
      </c>
      <c r="K355">
        <f t="shared" si="19"/>
        <v>3121.4564439999999</v>
      </c>
    </row>
    <row r="356" spans="2:11" x14ac:dyDescent="0.25">
      <c r="B356" s="4">
        <v>45815</v>
      </c>
      <c r="C356" t="s">
        <v>70</v>
      </c>
      <c r="E356" t="s">
        <v>62</v>
      </c>
      <c r="F356">
        <v>204404.03</v>
      </c>
      <c r="G356" t="s">
        <v>85</v>
      </c>
      <c r="H356">
        <f t="shared" si="21"/>
        <v>32.340208999999994</v>
      </c>
      <c r="I356">
        <v>41</v>
      </c>
      <c r="J356">
        <f t="shared" si="20"/>
        <v>1325.9485689999997</v>
      </c>
      <c r="K356">
        <f t="shared" si="19"/>
        <v>1325.9485689999997</v>
      </c>
    </row>
    <row r="357" spans="2:11" x14ac:dyDescent="0.25">
      <c r="B357" s="4">
        <v>45815</v>
      </c>
      <c r="C357" t="s">
        <v>70</v>
      </c>
      <c r="E357" t="s">
        <v>18</v>
      </c>
      <c r="F357">
        <v>226683.91</v>
      </c>
      <c r="G357" t="s">
        <v>85</v>
      </c>
      <c r="H357">
        <f t="shared" si="21"/>
        <v>39.024172999999998</v>
      </c>
      <c r="I357">
        <v>41</v>
      </c>
      <c r="J357">
        <f t="shared" si="20"/>
        <v>1599.9910929999999</v>
      </c>
      <c r="K357">
        <f t="shared" si="19"/>
        <v>1599.9910929999999</v>
      </c>
    </row>
    <row r="358" spans="2:11" x14ac:dyDescent="0.25">
      <c r="B358" s="4">
        <v>45815</v>
      </c>
      <c r="C358" t="s">
        <v>70</v>
      </c>
      <c r="E358" t="s">
        <v>19</v>
      </c>
      <c r="F358">
        <v>207181.3</v>
      </c>
      <c r="G358" t="s">
        <v>85</v>
      </c>
      <c r="H358">
        <f t="shared" si="21"/>
        <v>33.173389999999991</v>
      </c>
      <c r="I358">
        <v>41</v>
      </c>
      <c r="J358">
        <f t="shared" si="20"/>
        <v>1360.1089899999997</v>
      </c>
      <c r="K358">
        <f t="shared" si="19"/>
        <v>1360.1089899999997</v>
      </c>
    </row>
    <row r="359" spans="2:11" x14ac:dyDescent="0.25">
      <c r="B359" s="4">
        <v>45815</v>
      </c>
      <c r="C359" t="s">
        <v>70</v>
      </c>
      <c r="E359" t="s">
        <v>20</v>
      </c>
      <c r="F359">
        <v>235808.73</v>
      </c>
      <c r="G359" t="s">
        <v>85</v>
      </c>
      <c r="H359">
        <f t="shared" si="21"/>
        <v>41.761618999999989</v>
      </c>
      <c r="I359">
        <v>41</v>
      </c>
      <c r="J359">
        <f t="shared" si="20"/>
        <v>1712.2263789999995</v>
      </c>
      <c r="K359">
        <f t="shared" si="19"/>
        <v>1712.2263789999995</v>
      </c>
    </row>
    <row r="360" spans="2:11" x14ac:dyDescent="0.25">
      <c r="B360" s="4">
        <v>45815</v>
      </c>
      <c r="C360" t="s">
        <v>70</v>
      </c>
      <c r="E360" t="s">
        <v>63</v>
      </c>
      <c r="F360">
        <v>310055.65999999997</v>
      </c>
      <c r="G360" t="s">
        <v>85</v>
      </c>
      <c r="H360">
        <f t="shared" si="21"/>
        <v>64.035697999999996</v>
      </c>
      <c r="I360">
        <v>41</v>
      </c>
      <c r="J360">
        <f t="shared" si="20"/>
        <v>2625.4636179999998</v>
      </c>
      <c r="K360">
        <f t="shared" si="19"/>
        <v>2625.4636179999998</v>
      </c>
    </row>
    <row r="361" spans="2:11" x14ac:dyDescent="0.25">
      <c r="B361" s="4">
        <v>45815</v>
      </c>
      <c r="C361" t="s">
        <v>70</v>
      </c>
      <c r="E361" t="s">
        <v>21</v>
      </c>
      <c r="F361">
        <v>203472.16</v>
      </c>
      <c r="G361" t="s">
        <v>85</v>
      </c>
      <c r="H361">
        <f t="shared" si="21"/>
        <v>32.060647999999993</v>
      </c>
      <c r="I361">
        <v>41</v>
      </c>
      <c r="J361">
        <f t="shared" si="20"/>
        <v>1314.4865679999998</v>
      </c>
      <c r="K361">
        <f t="shared" si="19"/>
        <v>1314.4865679999998</v>
      </c>
    </row>
    <row r="362" spans="2:11" x14ac:dyDescent="0.25">
      <c r="B362" s="4">
        <v>45815</v>
      </c>
      <c r="C362" t="s">
        <v>70</v>
      </c>
      <c r="E362" t="s">
        <v>22</v>
      </c>
      <c r="F362">
        <v>143231.12</v>
      </c>
      <c r="G362" t="s">
        <v>85</v>
      </c>
      <c r="H362">
        <f t="shared" si="21"/>
        <v>13.98833599999999</v>
      </c>
      <c r="I362">
        <v>41</v>
      </c>
      <c r="J362">
        <f t="shared" si="20"/>
        <v>573.52177599999959</v>
      </c>
      <c r="K362">
        <f t="shared" si="19"/>
        <v>573.52177599999959</v>
      </c>
    </row>
    <row r="363" spans="2:11" x14ac:dyDescent="0.25">
      <c r="B363" s="4">
        <v>45815</v>
      </c>
      <c r="C363" t="s">
        <v>70</v>
      </c>
      <c r="E363" t="s">
        <v>23</v>
      </c>
      <c r="F363">
        <v>278089.40999999997</v>
      </c>
      <c r="G363" t="s">
        <v>85</v>
      </c>
      <c r="H363">
        <f t="shared" si="21"/>
        <v>54.445822999999983</v>
      </c>
      <c r="I363">
        <v>41</v>
      </c>
      <c r="J363">
        <f t="shared" si="20"/>
        <v>2232.2787429999994</v>
      </c>
      <c r="K363">
        <f t="shared" si="19"/>
        <v>2232.2787429999994</v>
      </c>
    </row>
    <row r="364" spans="2:11" x14ac:dyDescent="0.25">
      <c r="B364" s="4">
        <v>45815</v>
      </c>
      <c r="C364" t="s">
        <v>70</v>
      </c>
      <c r="E364" t="s">
        <v>64</v>
      </c>
      <c r="F364">
        <v>167287.19</v>
      </c>
      <c r="G364" t="s">
        <v>85</v>
      </c>
      <c r="H364">
        <f t="shared" si="21"/>
        <v>21.205156999999993</v>
      </c>
      <c r="I364">
        <v>41</v>
      </c>
      <c r="J364">
        <f t="shared" si="20"/>
        <v>869.41143699999975</v>
      </c>
      <c r="K364">
        <f t="shared" si="19"/>
        <v>869.41143699999975</v>
      </c>
    </row>
    <row r="365" spans="2:11" x14ac:dyDescent="0.25">
      <c r="B365" s="4">
        <v>45815</v>
      </c>
      <c r="C365" t="s">
        <v>70</v>
      </c>
      <c r="E365" t="s">
        <v>24</v>
      </c>
      <c r="F365">
        <v>347910.66</v>
      </c>
      <c r="G365" t="s">
        <v>85</v>
      </c>
      <c r="H365">
        <f t="shared" si="21"/>
        <v>75.392197999999979</v>
      </c>
      <c r="I365">
        <v>41</v>
      </c>
      <c r="J365">
        <f t="shared" si="20"/>
        <v>3091.0801179999989</v>
      </c>
      <c r="K365">
        <f t="shared" si="19"/>
        <v>3091.0801179999989</v>
      </c>
    </row>
    <row r="366" spans="2:11" x14ac:dyDescent="0.25">
      <c r="B366" s="4">
        <v>45815</v>
      </c>
      <c r="C366" t="s">
        <v>70</v>
      </c>
      <c r="E366" t="s">
        <v>25</v>
      </c>
      <c r="F366">
        <v>195117.02</v>
      </c>
      <c r="G366" t="s">
        <v>85</v>
      </c>
      <c r="H366">
        <f t="shared" si="21"/>
        <v>29.55410599999999</v>
      </c>
      <c r="I366">
        <v>41</v>
      </c>
      <c r="J366">
        <f t="shared" si="20"/>
        <v>1211.7183459999997</v>
      </c>
      <c r="K366">
        <f t="shared" si="19"/>
        <v>1211.7183459999997</v>
      </c>
    </row>
    <row r="367" spans="2:11" x14ac:dyDescent="0.25">
      <c r="B367" s="4">
        <v>45815</v>
      </c>
      <c r="C367" t="s">
        <v>70</v>
      </c>
      <c r="E367" t="s">
        <v>26</v>
      </c>
      <c r="F367">
        <v>231730.86</v>
      </c>
      <c r="G367" t="s">
        <v>85</v>
      </c>
      <c r="H367">
        <f t="shared" si="21"/>
        <v>40.538257999999992</v>
      </c>
      <c r="I367">
        <v>41</v>
      </c>
      <c r="J367">
        <f t="shared" si="20"/>
        <v>1662.0685779999997</v>
      </c>
      <c r="K367">
        <f t="shared" si="19"/>
        <v>1662.0685779999997</v>
      </c>
    </row>
    <row r="368" spans="2:11" x14ac:dyDescent="0.25">
      <c r="B368" s="4">
        <v>45815</v>
      </c>
      <c r="C368" t="s">
        <v>70</v>
      </c>
      <c r="E368" t="s">
        <v>65</v>
      </c>
      <c r="F368">
        <v>195417.17</v>
      </c>
      <c r="G368" t="s">
        <v>85</v>
      </c>
      <c r="H368">
        <f t="shared" si="21"/>
        <v>29.644150999999994</v>
      </c>
      <c r="I368">
        <v>41</v>
      </c>
      <c r="J368">
        <f t="shared" si="20"/>
        <v>1215.4101909999997</v>
      </c>
      <c r="K368">
        <f t="shared" si="19"/>
        <v>1215.4101909999997</v>
      </c>
    </row>
    <row r="369" spans="2:11" x14ac:dyDescent="0.25">
      <c r="B369" s="4">
        <v>45815</v>
      </c>
      <c r="C369" t="s">
        <v>70</v>
      </c>
      <c r="E369" t="s">
        <v>27</v>
      </c>
      <c r="F369">
        <v>211277.16</v>
      </c>
      <c r="G369" t="s">
        <v>85</v>
      </c>
      <c r="H369">
        <f t="shared" si="21"/>
        <v>34.402147999999997</v>
      </c>
      <c r="I369">
        <v>41</v>
      </c>
      <c r="J369">
        <f t="shared" si="20"/>
        <v>1410.4880679999999</v>
      </c>
      <c r="K369">
        <f t="shared" si="19"/>
        <v>1410.4880679999999</v>
      </c>
    </row>
    <row r="370" spans="2:11" x14ac:dyDescent="0.25">
      <c r="B370" s="4">
        <v>45815</v>
      </c>
      <c r="C370" t="s">
        <v>70</v>
      </c>
      <c r="E370" t="s">
        <v>28</v>
      </c>
      <c r="F370">
        <v>364499.03</v>
      </c>
      <c r="G370" t="s">
        <v>85</v>
      </c>
      <c r="H370">
        <f t="shared" si="21"/>
        <v>80.368708999999996</v>
      </c>
      <c r="I370">
        <v>41</v>
      </c>
      <c r="J370">
        <f t="shared" si="20"/>
        <v>3295.1170689999999</v>
      </c>
      <c r="K370">
        <f t="shared" si="19"/>
        <v>3295.1170689999999</v>
      </c>
    </row>
    <row r="371" spans="2:11" x14ac:dyDescent="0.25">
      <c r="B371" s="4">
        <v>45815</v>
      </c>
      <c r="C371" t="s">
        <v>70</v>
      </c>
      <c r="E371" t="s">
        <v>29</v>
      </c>
      <c r="F371">
        <v>374289.06</v>
      </c>
      <c r="G371" t="s">
        <v>85</v>
      </c>
      <c r="H371">
        <f t="shared" si="21"/>
        <v>83.305717999999985</v>
      </c>
      <c r="I371">
        <v>41</v>
      </c>
      <c r="J371">
        <f t="shared" si="20"/>
        <v>3415.5344379999992</v>
      </c>
      <c r="K371">
        <f t="shared" si="19"/>
        <v>3415.5344379999992</v>
      </c>
    </row>
    <row r="372" spans="2:11" x14ac:dyDescent="0.25">
      <c r="B372" s="4">
        <v>45815</v>
      </c>
      <c r="C372" t="s">
        <v>70</v>
      </c>
      <c r="E372" t="s">
        <v>66</v>
      </c>
      <c r="F372">
        <v>269225.71999999997</v>
      </c>
      <c r="G372" t="s">
        <v>85</v>
      </c>
      <c r="H372">
        <f t="shared" si="21"/>
        <v>51.786715999999977</v>
      </c>
      <c r="I372">
        <v>41</v>
      </c>
      <c r="J372">
        <f t="shared" si="20"/>
        <v>2123.2553559999992</v>
      </c>
      <c r="K372">
        <f t="shared" si="19"/>
        <v>2123.2553559999992</v>
      </c>
    </row>
    <row r="373" spans="2:11" x14ac:dyDescent="0.25">
      <c r="B373" s="4">
        <v>45815</v>
      </c>
      <c r="C373" t="s">
        <v>70</v>
      </c>
      <c r="D373" t="s">
        <v>67</v>
      </c>
      <c r="E373">
        <v>1</v>
      </c>
      <c r="F373">
        <v>288563.38</v>
      </c>
      <c r="G373" t="s">
        <v>85</v>
      </c>
      <c r="H373">
        <f t="shared" si="21"/>
        <v>57.588013999999994</v>
      </c>
      <c r="I373">
        <v>1</v>
      </c>
      <c r="J373">
        <f t="shared" si="20"/>
        <v>57.588013999999994</v>
      </c>
      <c r="K373">
        <f t="shared" si="19"/>
        <v>57.588013999999994</v>
      </c>
    </row>
    <row r="374" spans="2:11" x14ac:dyDescent="0.25">
      <c r="B374" s="4">
        <v>45815</v>
      </c>
      <c r="C374" t="s">
        <v>70</v>
      </c>
      <c r="D374" t="s">
        <v>67</v>
      </c>
      <c r="E374">
        <v>2</v>
      </c>
      <c r="F374">
        <v>325370.90999999997</v>
      </c>
      <c r="G374" t="s">
        <v>85</v>
      </c>
      <c r="H374">
        <f t="shared" si="21"/>
        <v>68.630272999999988</v>
      </c>
      <c r="I374">
        <v>1</v>
      </c>
      <c r="J374">
        <f t="shared" si="20"/>
        <v>68.630272999999988</v>
      </c>
      <c r="K374">
        <f t="shared" si="19"/>
        <v>68.630272999999988</v>
      </c>
    </row>
    <row r="375" spans="2:11" x14ac:dyDescent="0.25">
      <c r="B375" s="4">
        <v>45815</v>
      </c>
      <c r="C375" t="s">
        <v>70</v>
      </c>
      <c r="D375" t="s">
        <v>67</v>
      </c>
      <c r="E375">
        <v>3</v>
      </c>
      <c r="F375">
        <v>266854.5</v>
      </c>
      <c r="G375" t="s">
        <v>85</v>
      </c>
      <c r="H375">
        <f t="shared" si="21"/>
        <v>51.075349999999993</v>
      </c>
      <c r="I375">
        <v>1</v>
      </c>
      <c r="J375">
        <f t="shared" si="20"/>
        <v>51.075349999999993</v>
      </c>
      <c r="K375">
        <f t="shared" si="19"/>
        <v>51.075349999999993</v>
      </c>
    </row>
    <row r="376" spans="2:11" x14ac:dyDescent="0.25">
      <c r="B376" s="4">
        <v>45815</v>
      </c>
      <c r="C376" t="s">
        <v>71</v>
      </c>
      <c r="E376" t="s">
        <v>13</v>
      </c>
      <c r="F376">
        <v>274474.19</v>
      </c>
      <c r="G376" t="s">
        <v>85</v>
      </c>
      <c r="H376">
        <f t="shared" si="21"/>
        <v>53.361256999999988</v>
      </c>
      <c r="I376">
        <v>41</v>
      </c>
      <c r="J376">
        <f t="shared" si="20"/>
        <v>2187.8115369999996</v>
      </c>
      <c r="K376">
        <f t="shared" si="19"/>
        <v>2187.8115369999996</v>
      </c>
    </row>
    <row r="377" spans="2:11" x14ac:dyDescent="0.25">
      <c r="B377" s="4">
        <v>45815</v>
      </c>
      <c r="C377" t="s">
        <v>71</v>
      </c>
      <c r="E377" t="s">
        <v>14</v>
      </c>
      <c r="F377">
        <v>215201.95</v>
      </c>
      <c r="G377" t="s">
        <v>85</v>
      </c>
      <c r="H377">
        <f t="shared" si="21"/>
        <v>35.579585000000002</v>
      </c>
      <c r="I377">
        <v>41</v>
      </c>
      <c r="J377">
        <f t="shared" si="20"/>
        <v>1458.7629850000001</v>
      </c>
      <c r="K377">
        <f t="shared" si="19"/>
        <v>1458.7629850000001</v>
      </c>
    </row>
    <row r="378" spans="2:11" x14ac:dyDescent="0.25">
      <c r="B378" s="4">
        <v>45815</v>
      </c>
      <c r="C378" t="s">
        <v>71</v>
      </c>
      <c r="E378" t="s">
        <v>15</v>
      </c>
      <c r="F378">
        <v>182682.44</v>
      </c>
      <c r="G378" t="s">
        <v>85</v>
      </c>
      <c r="H378">
        <f t="shared" si="21"/>
        <v>25.823731999999993</v>
      </c>
      <c r="I378">
        <v>41</v>
      </c>
      <c r="J378">
        <f t="shared" si="20"/>
        <v>1058.7730119999997</v>
      </c>
      <c r="K378">
        <f t="shared" si="19"/>
        <v>1058.7730119999997</v>
      </c>
    </row>
    <row r="379" spans="2:11" x14ac:dyDescent="0.25">
      <c r="B379" s="4">
        <v>45815</v>
      </c>
      <c r="C379" t="s">
        <v>71</v>
      </c>
      <c r="E379" t="s">
        <v>61</v>
      </c>
      <c r="F379">
        <v>273279.44</v>
      </c>
      <c r="G379" t="s">
        <v>85</v>
      </c>
      <c r="H379">
        <f t="shared" si="21"/>
        <v>53.002831999999991</v>
      </c>
      <c r="I379">
        <v>41</v>
      </c>
      <c r="J379">
        <f t="shared" si="20"/>
        <v>2173.1161119999997</v>
      </c>
      <c r="K379">
        <f t="shared" si="19"/>
        <v>2173.1161119999997</v>
      </c>
    </row>
    <row r="380" spans="2:11" x14ac:dyDescent="0.25">
      <c r="B380" s="4">
        <v>45815</v>
      </c>
      <c r="C380" t="s">
        <v>71</v>
      </c>
      <c r="E380" t="s">
        <v>16</v>
      </c>
      <c r="F380">
        <v>198213.09</v>
      </c>
      <c r="G380" t="s">
        <v>85</v>
      </c>
      <c r="H380">
        <f t="shared" si="21"/>
        <v>30.482926999999989</v>
      </c>
      <c r="I380">
        <v>41</v>
      </c>
      <c r="J380">
        <f t="shared" si="20"/>
        <v>1249.8000069999996</v>
      </c>
      <c r="K380">
        <f t="shared" si="19"/>
        <v>1249.8000069999996</v>
      </c>
    </row>
    <row r="381" spans="2:11" x14ac:dyDescent="0.25">
      <c r="B381" s="4">
        <v>45815</v>
      </c>
      <c r="C381" t="s">
        <v>71</v>
      </c>
      <c r="E381" t="s">
        <v>17</v>
      </c>
      <c r="F381">
        <v>209898.78</v>
      </c>
      <c r="G381" t="s">
        <v>85</v>
      </c>
      <c r="H381">
        <f t="shared" si="21"/>
        <v>33.98863399999999</v>
      </c>
      <c r="I381">
        <v>41</v>
      </c>
      <c r="J381">
        <f t="shared" si="20"/>
        <v>1393.5339939999997</v>
      </c>
      <c r="K381">
        <f t="shared" si="19"/>
        <v>1393.5339939999997</v>
      </c>
    </row>
    <row r="382" spans="2:11" x14ac:dyDescent="0.25">
      <c r="B382" s="4">
        <v>45815</v>
      </c>
      <c r="C382" t="s">
        <v>71</v>
      </c>
      <c r="E382" t="s">
        <v>12</v>
      </c>
      <c r="F382">
        <v>240519.53</v>
      </c>
      <c r="G382" t="s">
        <v>85</v>
      </c>
      <c r="H382">
        <f t="shared" si="21"/>
        <v>43.174858999999991</v>
      </c>
      <c r="I382">
        <v>41</v>
      </c>
      <c r="J382">
        <f t="shared" si="20"/>
        <v>1770.1692189999997</v>
      </c>
      <c r="K382">
        <f t="shared" si="19"/>
        <v>1770.1692189999997</v>
      </c>
    </row>
    <row r="383" spans="2:11" x14ac:dyDescent="0.25">
      <c r="B383" s="4">
        <v>45815</v>
      </c>
      <c r="C383" t="s">
        <v>71</v>
      </c>
      <c r="E383" t="s">
        <v>62</v>
      </c>
      <c r="F383">
        <v>258280.75</v>
      </c>
      <c r="G383" t="s">
        <v>85</v>
      </c>
      <c r="H383">
        <f t="shared" si="21"/>
        <v>48.503224999999993</v>
      </c>
      <c r="I383">
        <v>41</v>
      </c>
      <c r="J383">
        <f t="shared" si="20"/>
        <v>1988.6322249999998</v>
      </c>
      <c r="K383">
        <f t="shared" si="19"/>
        <v>1988.6322249999998</v>
      </c>
    </row>
    <row r="384" spans="2:11" x14ac:dyDescent="0.25">
      <c r="B384" s="4">
        <v>45815</v>
      </c>
      <c r="C384" t="s">
        <v>71</v>
      </c>
      <c r="E384" t="s">
        <v>18</v>
      </c>
      <c r="F384">
        <v>230313.91</v>
      </c>
      <c r="G384" t="s">
        <v>85</v>
      </c>
      <c r="H384">
        <f t="shared" si="21"/>
        <v>40.113172999999996</v>
      </c>
      <c r="I384">
        <v>41</v>
      </c>
      <c r="J384">
        <f t="shared" si="20"/>
        <v>1644.6400929999998</v>
      </c>
      <c r="K384">
        <f t="shared" si="19"/>
        <v>1644.6400929999998</v>
      </c>
    </row>
    <row r="385" spans="2:11" x14ac:dyDescent="0.25">
      <c r="B385" s="4">
        <v>45815</v>
      </c>
      <c r="C385" t="s">
        <v>71</v>
      </c>
      <c r="E385" t="s">
        <v>19</v>
      </c>
      <c r="F385">
        <v>265914.78000000003</v>
      </c>
      <c r="G385" t="s">
        <v>85</v>
      </c>
      <c r="H385">
        <f t="shared" si="21"/>
        <v>50.793433999999998</v>
      </c>
      <c r="I385">
        <v>41</v>
      </c>
      <c r="J385">
        <f t="shared" si="20"/>
        <v>2082.5307939999998</v>
      </c>
      <c r="K385">
        <f t="shared" si="19"/>
        <v>2082.5307939999998</v>
      </c>
    </row>
    <row r="386" spans="2:11" x14ac:dyDescent="0.25">
      <c r="B386" s="4">
        <v>45815</v>
      </c>
      <c r="C386" t="s">
        <v>71</v>
      </c>
      <c r="E386" t="s">
        <v>20</v>
      </c>
      <c r="F386">
        <v>234589.72</v>
      </c>
      <c r="G386" t="s">
        <v>85</v>
      </c>
      <c r="H386">
        <f t="shared" si="21"/>
        <v>41.395915999999993</v>
      </c>
      <c r="I386">
        <v>41</v>
      </c>
      <c r="J386">
        <f t="shared" si="20"/>
        <v>1697.2325559999997</v>
      </c>
      <c r="K386">
        <f t="shared" si="19"/>
        <v>1697.2325559999997</v>
      </c>
    </row>
    <row r="387" spans="2:11" x14ac:dyDescent="0.25">
      <c r="B387" s="4">
        <v>45815</v>
      </c>
      <c r="C387" t="s">
        <v>71</v>
      </c>
      <c r="E387" t="s">
        <v>63</v>
      </c>
      <c r="F387">
        <v>244360.33</v>
      </c>
      <c r="G387" t="s">
        <v>85</v>
      </c>
      <c r="H387">
        <f t="shared" si="21"/>
        <v>44.327098999999983</v>
      </c>
      <c r="I387">
        <v>41</v>
      </c>
      <c r="J387">
        <f t="shared" si="20"/>
        <v>1817.4110589999993</v>
      </c>
      <c r="K387">
        <f t="shared" ref="K387:K430" si="22">MAX(J387,0)</f>
        <v>1817.4110589999993</v>
      </c>
    </row>
    <row r="388" spans="2:11" x14ac:dyDescent="0.25">
      <c r="B388" s="4">
        <v>45815</v>
      </c>
      <c r="C388" t="s">
        <v>71</v>
      </c>
      <c r="E388" t="s">
        <v>21</v>
      </c>
      <c r="F388">
        <v>204983.94</v>
      </c>
      <c r="G388" t="s">
        <v>85</v>
      </c>
      <c r="H388">
        <f t="shared" si="21"/>
        <v>32.514181999999991</v>
      </c>
      <c r="I388">
        <v>41</v>
      </c>
      <c r="J388">
        <f t="shared" si="20"/>
        <v>1333.0814619999996</v>
      </c>
      <c r="K388">
        <f t="shared" si="22"/>
        <v>1333.0814619999996</v>
      </c>
    </row>
    <row r="389" spans="2:11" x14ac:dyDescent="0.25">
      <c r="B389" s="4">
        <v>45815</v>
      </c>
      <c r="C389" t="s">
        <v>71</v>
      </c>
      <c r="E389" t="s">
        <v>22</v>
      </c>
      <c r="F389">
        <v>155197.48000000001</v>
      </c>
      <c r="G389" t="s">
        <v>85</v>
      </c>
      <c r="H389">
        <f t="shared" si="21"/>
        <v>17.578243999999998</v>
      </c>
      <c r="I389">
        <v>41</v>
      </c>
      <c r="J389">
        <f t="shared" si="20"/>
        <v>720.70800399999996</v>
      </c>
      <c r="K389">
        <f t="shared" si="22"/>
        <v>720.70800399999996</v>
      </c>
    </row>
    <row r="390" spans="2:11" x14ac:dyDescent="0.25">
      <c r="B390" s="4">
        <v>45815</v>
      </c>
      <c r="C390" t="s">
        <v>71</v>
      </c>
      <c r="E390" t="s">
        <v>23</v>
      </c>
      <c r="F390">
        <v>208549.14</v>
      </c>
      <c r="G390" t="s">
        <v>85</v>
      </c>
      <c r="H390">
        <f t="shared" si="21"/>
        <v>33.583741999999994</v>
      </c>
      <c r="I390">
        <v>41</v>
      </c>
      <c r="J390">
        <f t="shared" si="20"/>
        <v>1376.9334219999998</v>
      </c>
      <c r="K390">
        <f t="shared" si="22"/>
        <v>1376.9334219999998</v>
      </c>
    </row>
    <row r="391" spans="2:11" x14ac:dyDescent="0.25">
      <c r="B391" s="4">
        <v>45815</v>
      </c>
      <c r="C391" t="s">
        <v>71</v>
      </c>
      <c r="E391" t="s">
        <v>64</v>
      </c>
      <c r="F391">
        <v>381084.78</v>
      </c>
      <c r="G391" t="s">
        <v>85</v>
      </c>
      <c r="H391">
        <f t="shared" si="21"/>
        <v>85.344434000000007</v>
      </c>
      <c r="I391">
        <v>41</v>
      </c>
      <c r="J391">
        <f t="shared" si="20"/>
        <v>3499.1217940000001</v>
      </c>
      <c r="K391">
        <f t="shared" si="22"/>
        <v>3499.1217940000001</v>
      </c>
    </row>
    <row r="392" spans="2:11" x14ac:dyDescent="0.25">
      <c r="B392" s="4">
        <v>45815</v>
      </c>
      <c r="C392" t="s">
        <v>71</v>
      </c>
      <c r="E392" t="s">
        <v>24</v>
      </c>
      <c r="F392">
        <v>414021.56</v>
      </c>
      <c r="G392" t="s">
        <v>85</v>
      </c>
      <c r="H392">
        <f t="shared" si="21"/>
        <v>95.225467999999978</v>
      </c>
      <c r="I392">
        <v>41</v>
      </c>
      <c r="J392">
        <f t="shared" si="20"/>
        <v>3904.2441879999992</v>
      </c>
      <c r="K392">
        <f t="shared" si="22"/>
        <v>3904.2441879999992</v>
      </c>
    </row>
    <row r="393" spans="2:11" x14ac:dyDescent="0.25">
      <c r="B393" s="4">
        <v>45815</v>
      </c>
      <c r="C393" t="s">
        <v>71</v>
      </c>
      <c r="E393" t="s">
        <v>25</v>
      </c>
      <c r="F393">
        <v>248943.22</v>
      </c>
      <c r="G393" t="s">
        <v>85</v>
      </c>
      <c r="H393">
        <f t="shared" si="21"/>
        <v>45.701965999999992</v>
      </c>
      <c r="I393">
        <v>41</v>
      </c>
      <c r="J393">
        <f t="shared" si="20"/>
        <v>1873.7806059999996</v>
      </c>
      <c r="K393">
        <f t="shared" si="22"/>
        <v>1873.7806059999996</v>
      </c>
    </row>
    <row r="394" spans="2:11" x14ac:dyDescent="0.25">
      <c r="B394" s="4">
        <v>45815</v>
      </c>
      <c r="C394" t="s">
        <v>71</v>
      </c>
      <c r="E394" t="s">
        <v>26</v>
      </c>
      <c r="F394">
        <v>184200.25</v>
      </c>
      <c r="G394" t="s">
        <v>85</v>
      </c>
      <c r="H394">
        <f t="shared" si="21"/>
        <v>26.279074999999992</v>
      </c>
      <c r="I394">
        <v>41</v>
      </c>
      <c r="J394">
        <f t="shared" si="20"/>
        <v>1077.4420749999997</v>
      </c>
      <c r="K394">
        <f t="shared" si="22"/>
        <v>1077.4420749999997</v>
      </c>
    </row>
    <row r="395" spans="2:11" x14ac:dyDescent="0.25">
      <c r="B395" s="4">
        <v>45815</v>
      </c>
      <c r="C395" t="s">
        <v>71</v>
      </c>
      <c r="E395" t="s">
        <v>65</v>
      </c>
      <c r="F395">
        <v>225766.41</v>
      </c>
      <c r="G395" t="s">
        <v>85</v>
      </c>
      <c r="H395">
        <f t="shared" si="21"/>
        <v>38.748922999999998</v>
      </c>
      <c r="I395">
        <v>41</v>
      </c>
      <c r="J395">
        <f t="shared" si="20"/>
        <v>1588.705843</v>
      </c>
      <c r="K395">
        <f t="shared" si="22"/>
        <v>1588.705843</v>
      </c>
    </row>
    <row r="396" spans="2:11" x14ac:dyDescent="0.25">
      <c r="B396" s="4">
        <v>45815</v>
      </c>
      <c r="C396" t="s">
        <v>71</v>
      </c>
      <c r="E396" t="s">
        <v>27</v>
      </c>
      <c r="F396">
        <v>259478.38</v>
      </c>
      <c r="G396" t="s">
        <v>85</v>
      </c>
      <c r="H396">
        <f t="shared" si="21"/>
        <v>48.862513999999997</v>
      </c>
      <c r="I396">
        <v>41</v>
      </c>
      <c r="J396">
        <f t="shared" si="20"/>
        <v>2003.3630739999999</v>
      </c>
      <c r="K396">
        <f t="shared" si="22"/>
        <v>2003.3630739999999</v>
      </c>
    </row>
    <row r="397" spans="2:11" x14ac:dyDescent="0.25">
      <c r="B397" s="4">
        <v>45815</v>
      </c>
      <c r="C397" t="s">
        <v>71</v>
      </c>
      <c r="E397" t="s">
        <v>28</v>
      </c>
      <c r="F397">
        <v>197829.55</v>
      </c>
      <c r="G397" t="s">
        <v>85</v>
      </c>
      <c r="H397">
        <f t="shared" si="21"/>
        <v>30.367864999999988</v>
      </c>
      <c r="I397">
        <v>41</v>
      </c>
      <c r="J397">
        <f t="shared" si="20"/>
        <v>1245.0824649999995</v>
      </c>
      <c r="K397">
        <f t="shared" si="22"/>
        <v>1245.0824649999995</v>
      </c>
    </row>
    <row r="398" spans="2:11" x14ac:dyDescent="0.25">
      <c r="B398" s="4">
        <v>45815</v>
      </c>
      <c r="C398" t="s">
        <v>71</v>
      </c>
      <c r="E398" t="s">
        <v>29</v>
      </c>
      <c r="F398">
        <v>332219.78000000003</v>
      </c>
      <c r="G398" t="s">
        <v>85</v>
      </c>
      <c r="H398">
        <f t="shared" si="21"/>
        <v>70.684933999999998</v>
      </c>
      <c r="I398">
        <v>41</v>
      </c>
      <c r="J398">
        <f t="shared" si="20"/>
        <v>2898.0822939999998</v>
      </c>
      <c r="K398">
        <f t="shared" si="22"/>
        <v>2898.0822939999998</v>
      </c>
    </row>
    <row r="399" spans="2:11" x14ac:dyDescent="0.25">
      <c r="B399" s="4">
        <v>45815</v>
      </c>
      <c r="C399" t="s">
        <v>71</v>
      </c>
      <c r="E399" t="s">
        <v>66</v>
      </c>
      <c r="F399">
        <v>176801.88</v>
      </c>
      <c r="G399" t="s">
        <v>85</v>
      </c>
      <c r="H399">
        <f t="shared" si="21"/>
        <v>24.059563999999995</v>
      </c>
      <c r="I399">
        <v>41</v>
      </c>
      <c r="J399">
        <f t="shared" si="20"/>
        <v>986.44212399999981</v>
      </c>
      <c r="K399">
        <f t="shared" si="22"/>
        <v>986.44212399999981</v>
      </c>
    </row>
    <row r="400" spans="2:11" x14ac:dyDescent="0.25">
      <c r="B400" s="4">
        <v>45815</v>
      </c>
      <c r="C400" t="s">
        <v>71</v>
      </c>
      <c r="D400" t="s">
        <v>67</v>
      </c>
      <c r="E400">
        <v>1</v>
      </c>
      <c r="F400">
        <v>241781.08</v>
      </c>
      <c r="G400" t="s">
        <v>85</v>
      </c>
      <c r="H400">
        <f t="shared" si="21"/>
        <v>43.553323999999982</v>
      </c>
      <c r="I400">
        <v>1</v>
      </c>
      <c r="J400">
        <f t="shared" si="20"/>
        <v>43.553323999999982</v>
      </c>
      <c r="K400">
        <f t="shared" si="22"/>
        <v>43.553323999999982</v>
      </c>
    </row>
    <row r="401" spans="2:11" x14ac:dyDescent="0.25">
      <c r="B401" s="4">
        <v>45815</v>
      </c>
      <c r="C401" t="s">
        <v>71</v>
      </c>
      <c r="D401" t="s">
        <v>67</v>
      </c>
      <c r="E401">
        <v>2</v>
      </c>
      <c r="F401">
        <v>227350.67</v>
      </c>
      <c r="G401" t="s">
        <v>85</v>
      </c>
      <c r="H401">
        <f t="shared" si="21"/>
        <v>39.224201000000001</v>
      </c>
      <c r="I401">
        <v>1</v>
      </c>
      <c r="J401">
        <f t="shared" si="20"/>
        <v>39.224201000000001</v>
      </c>
      <c r="K401">
        <f t="shared" si="22"/>
        <v>39.224201000000001</v>
      </c>
    </row>
    <row r="402" spans="2:11" x14ac:dyDescent="0.25">
      <c r="B402" s="4">
        <v>45815</v>
      </c>
      <c r="C402" t="s">
        <v>71</v>
      </c>
      <c r="D402" t="s">
        <v>67</v>
      </c>
      <c r="E402">
        <v>3</v>
      </c>
      <c r="F402">
        <v>233980.06</v>
      </c>
      <c r="G402" t="s">
        <v>85</v>
      </c>
      <c r="H402">
        <f t="shared" si="21"/>
        <v>41.213017999999998</v>
      </c>
      <c r="I402">
        <v>1</v>
      </c>
      <c r="J402">
        <f t="shared" si="20"/>
        <v>41.213017999999998</v>
      </c>
      <c r="K402">
        <f t="shared" si="22"/>
        <v>41.213017999999998</v>
      </c>
    </row>
    <row r="403" spans="2:11" x14ac:dyDescent="0.25">
      <c r="B403" s="4">
        <v>45815</v>
      </c>
      <c r="C403" t="s">
        <v>72</v>
      </c>
      <c r="E403" t="s">
        <v>13</v>
      </c>
      <c r="F403">
        <v>252466.55</v>
      </c>
      <c r="G403" t="s">
        <v>85</v>
      </c>
      <c r="H403">
        <f t="shared" si="21"/>
        <v>46.758964999999982</v>
      </c>
      <c r="I403">
        <v>41</v>
      </c>
      <c r="J403">
        <f t="shared" si="20"/>
        <v>1917.1175649999993</v>
      </c>
      <c r="K403">
        <f t="shared" si="22"/>
        <v>1917.1175649999993</v>
      </c>
    </row>
    <row r="404" spans="2:11" x14ac:dyDescent="0.25">
      <c r="B404" s="4">
        <v>45815</v>
      </c>
      <c r="C404" t="s">
        <v>72</v>
      </c>
      <c r="E404" t="s">
        <v>14</v>
      </c>
      <c r="F404">
        <v>247383.28</v>
      </c>
      <c r="G404" t="s">
        <v>85</v>
      </c>
      <c r="H404">
        <f t="shared" si="21"/>
        <v>45.233983999999985</v>
      </c>
      <c r="I404">
        <v>41</v>
      </c>
      <c r="J404">
        <f t="shared" si="20"/>
        <v>1854.5933439999994</v>
      </c>
      <c r="K404">
        <f t="shared" si="22"/>
        <v>1854.5933439999994</v>
      </c>
    </row>
    <row r="405" spans="2:11" x14ac:dyDescent="0.25">
      <c r="B405" s="4">
        <v>45815</v>
      </c>
      <c r="C405" t="s">
        <v>72</v>
      </c>
      <c r="E405" t="s">
        <v>15</v>
      </c>
      <c r="F405">
        <v>209967.28</v>
      </c>
      <c r="G405" t="s">
        <v>85</v>
      </c>
      <c r="H405">
        <f t="shared" si="21"/>
        <v>34.009183999999991</v>
      </c>
      <c r="I405">
        <v>41</v>
      </c>
      <c r="J405">
        <f t="shared" si="20"/>
        <v>1394.3765439999995</v>
      </c>
      <c r="K405">
        <f t="shared" si="22"/>
        <v>1394.3765439999995</v>
      </c>
    </row>
    <row r="406" spans="2:11" x14ac:dyDescent="0.25">
      <c r="B406" s="4">
        <v>45815</v>
      </c>
      <c r="C406" t="s">
        <v>72</v>
      </c>
      <c r="E406" t="s">
        <v>61</v>
      </c>
      <c r="F406">
        <v>247491.3</v>
      </c>
      <c r="G406" t="s">
        <v>85</v>
      </c>
      <c r="H406">
        <f t="shared" si="21"/>
        <v>45.266389999999994</v>
      </c>
      <c r="I406">
        <v>41</v>
      </c>
      <c r="J406">
        <f t="shared" si="20"/>
        <v>1855.9219899999998</v>
      </c>
      <c r="K406">
        <f t="shared" si="22"/>
        <v>1855.9219899999998</v>
      </c>
    </row>
    <row r="407" spans="2:11" x14ac:dyDescent="0.25">
      <c r="B407" s="4">
        <v>45815</v>
      </c>
      <c r="C407" t="s">
        <v>72</v>
      </c>
      <c r="E407" t="s">
        <v>16</v>
      </c>
      <c r="F407">
        <v>241751.36</v>
      </c>
      <c r="G407" t="s">
        <v>85</v>
      </c>
      <c r="H407">
        <f t="shared" si="21"/>
        <v>43.544407999999983</v>
      </c>
      <c r="I407">
        <v>41</v>
      </c>
      <c r="J407">
        <f t="shared" si="20"/>
        <v>1785.3207279999992</v>
      </c>
      <c r="K407">
        <f t="shared" si="22"/>
        <v>1785.3207279999992</v>
      </c>
    </row>
    <row r="408" spans="2:11" x14ac:dyDescent="0.25">
      <c r="B408" s="4">
        <v>45815</v>
      </c>
      <c r="C408" t="s">
        <v>72</v>
      </c>
      <c r="E408" t="s">
        <v>17</v>
      </c>
      <c r="F408">
        <v>149584.03</v>
      </c>
      <c r="G408" t="s">
        <v>85</v>
      </c>
      <c r="H408">
        <f t="shared" si="21"/>
        <v>15.894208999999996</v>
      </c>
      <c r="I408">
        <v>41</v>
      </c>
      <c r="J408">
        <f t="shared" si="20"/>
        <v>651.66256899999985</v>
      </c>
      <c r="K408">
        <f t="shared" si="22"/>
        <v>651.66256899999985</v>
      </c>
    </row>
    <row r="409" spans="2:11" x14ac:dyDescent="0.25">
      <c r="B409" s="4">
        <v>45815</v>
      </c>
      <c r="C409" t="s">
        <v>72</v>
      </c>
      <c r="E409" t="s">
        <v>12</v>
      </c>
      <c r="F409">
        <v>333511.94</v>
      </c>
      <c r="G409" t="s">
        <v>85</v>
      </c>
      <c r="H409">
        <f t="shared" si="21"/>
        <v>71.072581999999983</v>
      </c>
      <c r="I409">
        <v>41</v>
      </c>
      <c r="J409">
        <f t="shared" si="20"/>
        <v>2913.9758619999993</v>
      </c>
      <c r="K409">
        <f t="shared" si="22"/>
        <v>2913.9758619999993</v>
      </c>
    </row>
    <row r="410" spans="2:11" x14ac:dyDescent="0.25">
      <c r="B410" s="4">
        <v>45815</v>
      </c>
      <c r="C410" t="s">
        <v>72</v>
      </c>
      <c r="E410" t="s">
        <v>62</v>
      </c>
      <c r="F410">
        <v>201286.3</v>
      </c>
      <c r="G410" t="s">
        <v>85</v>
      </c>
      <c r="H410">
        <f t="shared" si="21"/>
        <v>31.404889999999988</v>
      </c>
      <c r="I410">
        <v>41</v>
      </c>
      <c r="J410">
        <f t="shared" si="20"/>
        <v>1287.6004899999996</v>
      </c>
      <c r="K410">
        <f t="shared" si="22"/>
        <v>1287.6004899999996</v>
      </c>
    </row>
    <row r="411" spans="2:11" x14ac:dyDescent="0.25">
      <c r="B411" s="4">
        <v>45815</v>
      </c>
      <c r="C411" t="s">
        <v>72</v>
      </c>
      <c r="E411" t="s">
        <v>18</v>
      </c>
      <c r="F411">
        <v>188804.14</v>
      </c>
      <c r="G411" t="s">
        <v>85</v>
      </c>
      <c r="H411">
        <f t="shared" si="21"/>
        <v>27.660241999999997</v>
      </c>
      <c r="I411">
        <v>41</v>
      </c>
      <c r="J411">
        <f t="shared" si="20"/>
        <v>1134.0699219999999</v>
      </c>
      <c r="K411">
        <f t="shared" si="22"/>
        <v>1134.0699219999999</v>
      </c>
    </row>
    <row r="412" spans="2:11" x14ac:dyDescent="0.25">
      <c r="B412" s="4">
        <v>45815</v>
      </c>
      <c r="C412" t="s">
        <v>72</v>
      </c>
      <c r="E412" t="s">
        <v>19</v>
      </c>
      <c r="F412">
        <v>416593.28</v>
      </c>
      <c r="G412" t="s">
        <v>85</v>
      </c>
      <c r="H412">
        <f t="shared" si="21"/>
        <v>95.996983999999998</v>
      </c>
      <c r="I412">
        <v>41</v>
      </c>
      <c r="J412">
        <f t="shared" si="20"/>
        <v>3935.8763439999998</v>
      </c>
      <c r="K412">
        <f t="shared" si="22"/>
        <v>3935.8763439999998</v>
      </c>
    </row>
    <row r="413" spans="2:11" x14ac:dyDescent="0.25">
      <c r="B413" s="4">
        <v>45815</v>
      </c>
      <c r="C413" t="s">
        <v>72</v>
      </c>
      <c r="E413" t="s">
        <v>20</v>
      </c>
      <c r="F413">
        <v>219389.08</v>
      </c>
      <c r="G413" t="s">
        <v>85</v>
      </c>
      <c r="H413">
        <f t="shared" si="21"/>
        <v>36.835723999999992</v>
      </c>
      <c r="I413">
        <v>41</v>
      </c>
      <c r="J413">
        <f t="shared" si="20"/>
        <v>1510.2646839999998</v>
      </c>
      <c r="K413">
        <f t="shared" si="22"/>
        <v>1510.2646839999998</v>
      </c>
    </row>
    <row r="414" spans="2:11" x14ac:dyDescent="0.25">
      <c r="B414" s="4">
        <v>45815</v>
      </c>
      <c r="C414" t="s">
        <v>72</v>
      </c>
      <c r="E414" t="s">
        <v>63</v>
      </c>
      <c r="F414">
        <v>225270.19</v>
      </c>
      <c r="G414" t="s">
        <v>85</v>
      </c>
      <c r="H414">
        <f t="shared" si="21"/>
        <v>38.600057</v>
      </c>
      <c r="I414">
        <v>41</v>
      </c>
      <c r="J414">
        <f t="shared" si="20"/>
        <v>1582.602337</v>
      </c>
      <c r="K414">
        <f t="shared" si="22"/>
        <v>1582.602337</v>
      </c>
    </row>
    <row r="415" spans="2:11" x14ac:dyDescent="0.25">
      <c r="B415" s="4">
        <v>45815</v>
      </c>
      <c r="C415" t="s">
        <v>72</v>
      </c>
      <c r="E415" t="s">
        <v>21</v>
      </c>
      <c r="F415">
        <v>233497.83</v>
      </c>
      <c r="G415" t="s">
        <v>85</v>
      </c>
      <c r="H415">
        <f t="shared" si="21"/>
        <v>41.068348999999991</v>
      </c>
      <c r="I415">
        <v>41</v>
      </c>
      <c r="J415">
        <f t="shared" si="20"/>
        <v>1683.8023089999997</v>
      </c>
      <c r="K415">
        <f t="shared" si="22"/>
        <v>1683.8023089999997</v>
      </c>
    </row>
    <row r="416" spans="2:11" x14ac:dyDescent="0.25">
      <c r="B416" s="4">
        <v>45815</v>
      </c>
      <c r="C416" t="s">
        <v>72</v>
      </c>
      <c r="E416" t="s">
        <v>22</v>
      </c>
      <c r="F416">
        <v>262764.19</v>
      </c>
      <c r="G416" t="s">
        <v>85</v>
      </c>
      <c r="H416">
        <f t="shared" si="21"/>
        <v>49.848256999999997</v>
      </c>
      <c r="I416">
        <v>41</v>
      </c>
      <c r="J416">
        <f t="shared" ref="J416:J430" si="23">H416*I416</f>
        <v>2043.7785369999999</v>
      </c>
      <c r="K416">
        <f t="shared" si="22"/>
        <v>2043.7785369999999</v>
      </c>
    </row>
    <row r="417" spans="2:11" x14ac:dyDescent="0.25">
      <c r="B417" s="4">
        <v>45815</v>
      </c>
      <c r="C417" t="s">
        <v>72</v>
      </c>
      <c r="E417" t="s">
        <v>23</v>
      </c>
      <c r="F417">
        <v>170465.3</v>
      </c>
      <c r="G417" t="s">
        <v>85</v>
      </c>
      <c r="H417">
        <f t="shared" si="21"/>
        <v>22.15858999999999</v>
      </c>
      <c r="I417">
        <v>41</v>
      </c>
      <c r="J417">
        <f t="shared" si="23"/>
        <v>908.50218999999959</v>
      </c>
      <c r="K417">
        <f t="shared" si="22"/>
        <v>908.50218999999959</v>
      </c>
    </row>
    <row r="418" spans="2:11" x14ac:dyDescent="0.25">
      <c r="B418" s="4">
        <v>45815</v>
      </c>
      <c r="C418" t="s">
        <v>72</v>
      </c>
      <c r="E418" t="s">
        <v>64</v>
      </c>
      <c r="F418">
        <v>315771.94</v>
      </c>
      <c r="G418" t="s">
        <v>85</v>
      </c>
      <c r="H418">
        <f t="shared" ref="H418:H429" si="24">(0.0003*F418)-28.981</f>
        <v>65.75058199999998</v>
      </c>
      <c r="I418">
        <v>41</v>
      </c>
      <c r="J418">
        <f t="shared" si="23"/>
        <v>2695.7738619999991</v>
      </c>
      <c r="K418">
        <f t="shared" si="22"/>
        <v>2695.7738619999991</v>
      </c>
    </row>
    <row r="419" spans="2:11" x14ac:dyDescent="0.25">
      <c r="B419" s="4">
        <v>45815</v>
      </c>
      <c r="C419" t="s">
        <v>72</v>
      </c>
      <c r="E419" t="s">
        <v>24</v>
      </c>
      <c r="F419">
        <v>430016.34</v>
      </c>
      <c r="G419" t="s">
        <v>85</v>
      </c>
      <c r="H419">
        <f t="shared" si="24"/>
        <v>100.02390199999999</v>
      </c>
      <c r="I419">
        <v>41</v>
      </c>
      <c r="J419">
        <f t="shared" si="23"/>
        <v>4100.9799819999998</v>
      </c>
      <c r="K419">
        <f t="shared" si="22"/>
        <v>4100.9799819999998</v>
      </c>
    </row>
    <row r="420" spans="2:11" x14ac:dyDescent="0.25">
      <c r="B420" s="4">
        <v>45815</v>
      </c>
      <c r="C420" t="s">
        <v>72</v>
      </c>
      <c r="E420" t="s">
        <v>25</v>
      </c>
      <c r="F420">
        <v>313456.62</v>
      </c>
      <c r="G420" t="s">
        <v>85</v>
      </c>
      <c r="H420">
        <f t="shared" si="24"/>
        <v>65.05598599999999</v>
      </c>
      <c r="I420">
        <v>41</v>
      </c>
      <c r="J420">
        <f t="shared" si="23"/>
        <v>2667.2954259999997</v>
      </c>
      <c r="K420">
        <f t="shared" si="22"/>
        <v>2667.2954259999997</v>
      </c>
    </row>
    <row r="421" spans="2:11" x14ac:dyDescent="0.25">
      <c r="B421" s="4">
        <v>45815</v>
      </c>
      <c r="C421" t="s">
        <v>72</v>
      </c>
      <c r="E421" t="s">
        <v>26</v>
      </c>
      <c r="F421">
        <v>197043.86</v>
      </c>
      <c r="G421" t="s">
        <v>85</v>
      </c>
      <c r="H421">
        <f t="shared" si="24"/>
        <v>30.13215799999999</v>
      </c>
      <c r="I421">
        <v>41</v>
      </c>
      <c r="J421">
        <f t="shared" si="23"/>
        <v>1235.4184779999996</v>
      </c>
      <c r="K421">
        <f t="shared" si="22"/>
        <v>1235.4184779999996</v>
      </c>
    </row>
    <row r="422" spans="2:11" x14ac:dyDescent="0.25">
      <c r="B422" s="4">
        <v>45815</v>
      </c>
      <c r="C422" t="s">
        <v>72</v>
      </c>
      <c r="E422" t="s">
        <v>65</v>
      </c>
      <c r="F422">
        <v>257370.78</v>
      </c>
      <c r="G422" t="s">
        <v>85</v>
      </c>
      <c r="H422">
        <f t="shared" si="24"/>
        <v>48.230233999999989</v>
      </c>
      <c r="I422">
        <v>41</v>
      </c>
      <c r="J422">
        <f t="shared" si="23"/>
        <v>1977.4395939999995</v>
      </c>
      <c r="K422">
        <f t="shared" si="22"/>
        <v>1977.4395939999995</v>
      </c>
    </row>
    <row r="423" spans="2:11" x14ac:dyDescent="0.25">
      <c r="B423" s="4">
        <v>45815</v>
      </c>
      <c r="C423" t="s">
        <v>72</v>
      </c>
      <c r="E423" t="s">
        <v>27</v>
      </c>
      <c r="F423">
        <v>285325.21999999997</v>
      </c>
      <c r="G423" t="s">
        <v>85</v>
      </c>
      <c r="H423">
        <f t="shared" si="24"/>
        <v>56.616565999999985</v>
      </c>
      <c r="I423">
        <v>41</v>
      </c>
      <c r="J423">
        <f t="shared" si="23"/>
        <v>2321.2792059999992</v>
      </c>
      <c r="K423">
        <f t="shared" si="22"/>
        <v>2321.2792059999992</v>
      </c>
    </row>
    <row r="424" spans="2:11" x14ac:dyDescent="0.25">
      <c r="B424" s="4">
        <v>45815</v>
      </c>
      <c r="C424" t="s">
        <v>72</v>
      </c>
      <c r="E424" t="s">
        <v>28</v>
      </c>
      <c r="F424">
        <v>266741.12</v>
      </c>
      <c r="G424" t="s">
        <v>85</v>
      </c>
      <c r="H424">
        <f t="shared" si="24"/>
        <v>51.041335999999994</v>
      </c>
      <c r="I424">
        <v>41</v>
      </c>
      <c r="J424">
        <f t="shared" si="23"/>
        <v>2092.6947759999998</v>
      </c>
      <c r="K424">
        <f t="shared" si="22"/>
        <v>2092.6947759999998</v>
      </c>
    </row>
    <row r="425" spans="2:11" x14ac:dyDescent="0.25">
      <c r="B425" s="4">
        <v>45815</v>
      </c>
      <c r="C425" t="s">
        <v>72</v>
      </c>
      <c r="E425" t="s">
        <v>29</v>
      </c>
      <c r="F425">
        <v>217736.8</v>
      </c>
      <c r="G425" t="s">
        <v>85</v>
      </c>
      <c r="H425">
        <f t="shared" si="24"/>
        <v>36.340039999999995</v>
      </c>
      <c r="I425">
        <v>41</v>
      </c>
      <c r="J425">
        <f t="shared" si="23"/>
        <v>1489.9416399999998</v>
      </c>
      <c r="K425">
        <f t="shared" si="22"/>
        <v>1489.9416399999998</v>
      </c>
    </row>
    <row r="426" spans="2:11" x14ac:dyDescent="0.25">
      <c r="B426" s="4">
        <v>45815</v>
      </c>
      <c r="C426" t="s">
        <v>72</v>
      </c>
      <c r="E426" t="s">
        <v>66</v>
      </c>
      <c r="F426">
        <v>218928.36</v>
      </c>
      <c r="G426" t="s">
        <v>85</v>
      </c>
      <c r="H426">
        <f t="shared" si="24"/>
        <v>36.697507999999992</v>
      </c>
      <c r="I426">
        <v>41</v>
      </c>
      <c r="J426">
        <f t="shared" si="23"/>
        <v>1504.5978279999997</v>
      </c>
      <c r="K426">
        <f t="shared" si="22"/>
        <v>1504.5978279999997</v>
      </c>
    </row>
    <row r="427" spans="2:11" x14ac:dyDescent="0.25">
      <c r="B427" s="4">
        <v>45815</v>
      </c>
      <c r="C427" t="s">
        <v>72</v>
      </c>
      <c r="D427" t="s">
        <v>67</v>
      </c>
      <c r="E427">
        <v>1</v>
      </c>
      <c r="F427">
        <v>433885.69</v>
      </c>
      <c r="G427" t="s">
        <v>85</v>
      </c>
      <c r="H427">
        <f t="shared" si="24"/>
        <v>101.184707</v>
      </c>
      <c r="I427">
        <v>1</v>
      </c>
      <c r="J427">
        <f t="shared" si="23"/>
        <v>101.184707</v>
      </c>
      <c r="K427">
        <f t="shared" si="22"/>
        <v>101.184707</v>
      </c>
    </row>
    <row r="428" spans="2:11" x14ac:dyDescent="0.25">
      <c r="B428" s="4">
        <v>45815</v>
      </c>
      <c r="C428" t="s">
        <v>72</v>
      </c>
      <c r="D428" t="s">
        <v>67</v>
      </c>
      <c r="E428">
        <v>2</v>
      </c>
      <c r="F428">
        <v>186446.8</v>
      </c>
      <c r="G428" t="s">
        <v>85</v>
      </c>
      <c r="H428">
        <f t="shared" si="24"/>
        <v>26.953039999999987</v>
      </c>
      <c r="I428">
        <v>1</v>
      </c>
      <c r="J428">
        <f t="shared" si="23"/>
        <v>26.953039999999987</v>
      </c>
      <c r="K428">
        <f t="shared" si="22"/>
        <v>26.953039999999987</v>
      </c>
    </row>
    <row r="429" spans="2:11" x14ac:dyDescent="0.25">
      <c r="B429" s="4">
        <v>45815</v>
      </c>
      <c r="C429" t="s">
        <v>72</v>
      </c>
      <c r="D429" t="s">
        <v>67</v>
      </c>
      <c r="E429">
        <v>3</v>
      </c>
      <c r="F429">
        <v>455630.56</v>
      </c>
      <c r="G429" t="s">
        <v>85</v>
      </c>
      <c r="H429">
        <f t="shared" si="24"/>
        <v>107.708168</v>
      </c>
      <c r="I429">
        <v>1</v>
      </c>
      <c r="J429">
        <f t="shared" si="23"/>
        <v>107.708168</v>
      </c>
      <c r="K429">
        <f t="shared" si="22"/>
        <v>107.708168</v>
      </c>
    </row>
    <row r="430" spans="2:11" x14ac:dyDescent="0.25">
      <c r="B430" s="4">
        <v>45861</v>
      </c>
      <c r="C430" t="s">
        <v>68</v>
      </c>
      <c r="E430" t="s">
        <v>13</v>
      </c>
      <c r="F430">
        <v>76303.86</v>
      </c>
      <c r="G430" t="s">
        <v>91</v>
      </c>
      <c r="H430">
        <f>(0.0003*F430)-13.312</f>
        <v>9.5791579999999978</v>
      </c>
      <c r="I430">
        <v>41</v>
      </c>
      <c r="J430">
        <f t="shared" si="23"/>
        <v>392.74547799999993</v>
      </c>
      <c r="K430">
        <f t="shared" si="22"/>
        <v>392.74547799999993</v>
      </c>
    </row>
    <row r="431" spans="2:11" x14ac:dyDescent="0.25">
      <c r="B431" s="4">
        <v>45861</v>
      </c>
      <c r="C431" t="s">
        <v>68</v>
      </c>
      <c r="E431" t="s">
        <v>14</v>
      </c>
      <c r="F431">
        <v>69469.91</v>
      </c>
      <c r="G431" t="s">
        <v>91</v>
      </c>
      <c r="H431">
        <f>(0.0003*F431)-13.312</f>
        <v>7.5289729999999988</v>
      </c>
      <c r="I431">
        <v>41</v>
      </c>
      <c r="J431">
        <f t="shared" ref="J431:J494" si="25">H431*I431</f>
        <v>308.68789299999997</v>
      </c>
      <c r="K431">
        <f t="shared" ref="K431:K494" si="26">MAX(J431,0)</f>
        <v>308.68789299999997</v>
      </c>
    </row>
    <row r="432" spans="2:11" x14ac:dyDescent="0.25">
      <c r="B432" s="4">
        <v>45861</v>
      </c>
      <c r="C432" t="s">
        <v>68</v>
      </c>
      <c r="E432" t="s">
        <v>15</v>
      </c>
      <c r="F432">
        <v>127806.66</v>
      </c>
      <c r="G432" t="s">
        <v>91</v>
      </c>
      <c r="H432">
        <f t="shared" ref="H432:H495" si="27">(0.0003*F432)-13.312</f>
        <v>25.029997999999999</v>
      </c>
      <c r="I432">
        <v>41</v>
      </c>
      <c r="J432">
        <f t="shared" si="25"/>
        <v>1026.229918</v>
      </c>
      <c r="K432">
        <f t="shared" si="26"/>
        <v>1026.229918</v>
      </c>
    </row>
    <row r="433" spans="2:11" x14ac:dyDescent="0.25">
      <c r="B433" s="4">
        <v>45861</v>
      </c>
      <c r="C433" t="s">
        <v>68</v>
      </c>
      <c r="E433" t="s">
        <v>61</v>
      </c>
      <c r="F433">
        <v>29561.86</v>
      </c>
      <c r="G433" t="s">
        <v>91</v>
      </c>
      <c r="H433">
        <f>(0.0003*F433)-13.312</f>
        <v>-4.4434419999999992</v>
      </c>
      <c r="I433">
        <v>41</v>
      </c>
      <c r="J433">
        <f t="shared" si="25"/>
        <v>-182.18112199999996</v>
      </c>
      <c r="K433">
        <f t="shared" si="26"/>
        <v>0</v>
      </c>
    </row>
    <row r="434" spans="2:11" x14ac:dyDescent="0.25">
      <c r="B434" s="4">
        <v>45861</v>
      </c>
      <c r="C434" t="s">
        <v>68</v>
      </c>
      <c r="E434" t="s">
        <v>16</v>
      </c>
      <c r="F434">
        <v>92371.71</v>
      </c>
      <c r="G434" t="s">
        <v>91</v>
      </c>
      <c r="H434">
        <f t="shared" si="27"/>
        <v>14.399513000000001</v>
      </c>
      <c r="I434">
        <v>41</v>
      </c>
      <c r="J434">
        <f t="shared" si="25"/>
        <v>590.38003300000003</v>
      </c>
      <c r="K434">
        <f t="shared" si="26"/>
        <v>590.38003300000003</v>
      </c>
    </row>
    <row r="435" spans="2:11" x14ac:dyDescent="0.25">
      <c r="B435" s="4">
        <v>45861</v>
      </c>
      <c r="C435" t="s">
        <v>68</v>
      </c>
      <c r="E435" t="s">
        <v>17</v>
      </c>
      <c r="F435">
        <v>35898.019999999997</v>
      </c>
      <c r="G435" t="s">
        <v>91</v>
      </c>
      <c r="H435">
        <f t="shared" si="27"/>
        <v>-2.5425940000000011</v>
      </c>
      <c r="I435">
        <v>41</v>
      </c>
      <c r="J435">
        <f t="shared" si="25"/>
        <v>-104.24635400000005</v>
      </c>
      <c r="K435">
        <f t="shared" si="26"/>
        <v>0</v>
      </c>
    </row>
    <row r="436" spans="2:11" x14ac:dyDescent="0.25">
      <c r="B436" s="4">
        <v>45861</v>
      </c>
      <c r="C436" t="s">
        <v>68</v>
      </c>
      <c r="E436" t="s">
        <v>12</v>
      </c>
      <c r="F436">
        <v>51698.77</v>
      </c>
      <c r="G436" t="s">
        <v>91</v>
      </c>
      <c r="H436">
        <f t="shared" si="27"/>
        <v>2.1976309999999977</v>
      </c>
      <c r="I436">
        <v>41</v>
      </c>
      <c r="J436">
        <f t="shared" si="25"/>
        <v>90.102870999999908</v>
      </c>
      <c r="K436">
        <f t="shared" si="26"/>
        <v>90.102870999999908</v>
      </c>
    </row>
    <row r="437" spans="2:11" x14ac:dyDescent="0.25">
      <c r="B437" s="4">
        <v>45861</v>
      </c>
      <c r="C437" t="s">
        <v>68</v>
      </c>
      <c r="E437" t="s">
        <v>62</v>
      </c>
      <c r="F437">
        <v>69245.100000000006</v>
      </c>
      <c r="G437" t="s">
        <v>91</v>
      </c>
      <c r="H437">
        <f t="shared" si="27"/>
        <v>7.4615300000000016</v>
      </c>
      <c r="I437">
        <v>41</v>
      </c>
      <c r="J437">
        <f t="shared" si="25"/>
        <v>305.92273000000006</v>
      </c>
      <c r="K437">
        <f t="shared" si="26"/>
        <v>305.92273000000006</v>
      </c>
    </row>
    <row r="438" spans="2:11" x14ac:dyDescent="0.25">
      <c r="B438" s="4">
        <v>45861</v>
      </c>
      <c r="C438" t="s">
        <v>68</v>
      </c>
      <c r="E438" t="s">
        <v>18</v>
      </c>
      <c r="F438">
        <v>290569.34000000003</v>
      </c>
      <c r="G438" t="s">
        <v>91</v>
      </c>
      <c r="H438">
        <f t="shared" si="27"/>
        <v>73.858801999999997</v>
      </c>
      <c r="I438">
        <v>41</v>
      </c>
      <c r="J438">
        <f t="shared" si="25"/>
        <v>3028.2108819999999</v>
      </c>
      <c r="K438">
        <f t="shared" si="26"/>
        <v>3028.2108819999999</v>
      </c>
    </row>
    <row r="439" spans="2:11" x14ac:dyDescent="0.25">
      <c r="B439" s="4">
        <v>45861</v>
      </c>
      <c r="C439" t="s">
        <v>68</v>
      </c>
      <c r="E439" t="s">
        <v>19</v>
      </c>
      <c r="F439">
        <v>49042.82</v>
      </c>
      <c r="G439" t="s">
        <v>91</v>
      </c>
      <c r="H439">
        <f t="shared" si="27"/>
        <v>1.4008459999999996</v>
      </c>
      <c r="I439">
        <v>41</v>
      </c>
      <c r="J439">
        <f t="shared" si="25"/>
        <v>57.434685999999985</v>
      </c>
      <c r="K439">
        <f t="shared" si="26"/>
        <v>57.434685999999985</v>
      </c>
    </row>
    <row r="440" spans="2:11" x14ac:dyDescent="0.25">
      <c r="B440" s="4">
        <v>45861</v>
      </c>
      <c r="C440" t="s">
        <v>68</v>
      </c>
      <c r="E440" t="s">
        <v>20</v>
      </c>
      <c r="F440">
        <v>55619.94</v>
      </c>
      <c r="G440" t="s">
        <v>91</v>
      </c>
      <c r="H440">
        <f t="shared" si="27"/>
        <v>3.3739819999999998</v>
      </c>
      <c r="I440">
        <v>41</v>
      </c>
      <c r="J440">
        <f t="shared" si="25"/>
        <v>138.33326199999999</v>
      </c>
      <c r="K440">
        <f t="shared" si="26"/>
        <v>138.33326199999999</v>
      </c>
    </row>
    <row r="441" spans="2:11" x14ac:dyDescent="0.25">
      <c r="B441" s="4">
        <v>45861</v>
      </c>
      <c r="C441" t="s">
        <v>68</v>
      </c>
      <c r="E441" t="s">
        <v>63</v>
      </c>
      <c r="F441">
        <v>46200.959999999999</v>
      </c>
      <c r="G441" t="s">
        <v>91</v>
      </c>
      <c r="H441">
        <f t="shared" si="27"/>
        <v>0.54828799999999944</v>
      </c>
      <c r="I441">
        <v>41</v>
      </c>
      <c r="J441">
        <f t="shared" si="25"/>
        <v>22.479807999999977</v>
      </c>
      <c r="K441">
        <f t="shared" si="26"/>
        <v>22.479807999999977</v>
      </c>
    </row>
    <row r="442" spans="2:11" x14ac:dyDescent="0.25">
      <c r="B442" s="4">
        <v>45861</v>
      </c>
      <c r="C442" t="s">
        <v>68</v>
      </c>
      <c r="E442" t="s">
        <v>21</v>
      </c>
      <c r="F442">
        <v>53082.48</v>
      </c>
      <c r="G442" t="s">
        <v>91</v>
      </c>
      <c r="H442">
        <f t="shared" si="27"/>
        <v>2.6127439999999993</v>
      </c>
      <c r="I442">
        <v>41</v>
      </c>
      <c r="J442">
        <f t="shared" si="25"/>
        <v>107.12250399999996</v>
      </c>
      <c r="K442">
        <f t="shared" si="26"/>
        <v>107.12250399999996</v>
      </c>
    </row>
    <row r="443" spans="2:11" x14ac:dyDescent="0.25">
      <c r="B443" s="4">
        <v>45861</v>
      </c>
      <c r="C443" t="s">
        <v>68</v>
      </c>
      <c r="D443" t="s">
        <v>67</v>
      </c>
      <c r="E443">
        <v>1</v>
      </c>
      <c r="F443">
        <v>82558.600000000006</v>
      </c>
      <c r="G443" t="s">
        <v>91</v>
      </c>
      <c r="H443">
        <f t="shared" si="27"/>
        <v>11.455579999999999</v>
      </c>
      <c r="I443">
        <v>1</v>
      </c>
      <c r="J443">
        <f t="shared" si="25"/>
        <v>11.455579999999999</v>
      </c>
      <c r="K443">
        <f t="shared" si="26"/>
        <v>11.455579999999999</v>
      </c>
    </row>
    <row r="444" spans="2:11" x14ac:dyDescent="0.25">
      <c r="B444" s="4">
        <v>45861</v>
      </c>
      <c r="C444" t="s">
        <v>68</v>
      </c>
      <c r="D444" t="s">
        <v>67</v>
      </c>
      <c r="E444">
        <v>2</v>
      </c>
      <c r="F444">
        <v>75600.7</v>
      </c>
      <c r="G444" t="s">
        <v>91</v>
      </c>
      <c r="H444">
        <f t="shared" si="27"/>
        <v>9.3682099999999995</v>
      </c>
      <c r="I444">
        <v>1</v>
      </c>
      <c r="J444">
        <f t="shared" si="25"/>
        <v>9.3682099999999995</v>
      </c>
      <c r="K444">
        <f t="shared" si="26"/>
        <v>9.3682099999999995</v>
      </c>
    </row>
    <row r="445" spans="2:11" x14ac:dyDescent="0.25">
      <c r="B445" s="4">
        <v>45861</v>
      </c>
      <c r="C445" t="s">
        <v>34</v>
      </c>
      <c r="E445" t="s">
        <v>13</v>
      </c>
      <c r="F445">
        <v>56621.18</v>
      </c>
      <c r="G445" t="s">
        <v>91</v>
      </c>
      <c r="H445">
        <f t="shared" si="27"/>
        <v>3.6743539999999992</v>
      </c>
      <c r="I445">
        <v>41</v>
      </c>
      <c r="J445">
        <f t="shared" si="25"/>
        <v>150.64851399999998</v>
      </c>
      <c r="K445">
        <f t="shared" si="26"/>
        <v>150.64851399999998</v>
      </c>
    </row>
    <row r="446" spans="2:11" x14ac:dyDescent="0.25">
      <c r="B446" s="4">
        <v>45861</v>
      </c>
      <c r="C446" t="s">
        <v>34</v>
      </c>
      <c r="E446" t="s">
        <v>14</v>
      </c>
      <c r="F446">
        <v>91423.09</v>
      </c>
      <c r="G446" t="s">
        <v>91</v>
      </c>
      <c r="H446">
        <f t="shared" si="27"/>
        <v>14.114926999999996</v>
      </c>
      <c r="I446">
        <v>41</v>
      </c>
      <c r="J446">
        <f t="shared" si="25"/>
        <v>578.71200699999986</v>
      </c>
      <c r="K446">
        <f t="shared" si="26"/>
        <v>578.71200699999986</v>
      </c>
    </row>
    <row r="447" spans="2:11" x14ac:dyDescent="0.25">
      <c r="B447" s="4">
        <v>45861</v>
      </c>
      <c r="C447" t="s">
        <v>34</v>
      </c>
      <c r="E447" t="s">
        <v>15</v>
      </c>
      <c r="F447">
        <v>63945.41</v>
      </c>
      <c r="G447" t="s">
        <v>91</v>
      </c>
      <c r="H447">
        <f t="shared" si="27"/>
        <v>5.8716230000000014</v>
      </c>
      <c r="I447">
        <v>41</v>
      </c>
      <c r="J447">
        <f t="shared" si="25"/>
        <v>240.73654300000007</v>
      </c>
      <c r="K447">
        <f t="shared" si="26"/>
        <v>240.73654300000007</v>
      </c>
    </row>
    <row r="448" spans="2:11" x14ac:dyDescent="0.25">
      <c r="B448" s="4">
        <v>45861</v>
      </c>
      <c r="C448" t="s">
        <v>34</v>
      </c>
      <c r="E448" t="s">
        <v>61</v>
      </c>
      <c r="F448">
        <v>77013.38</v>
      </c>
      <c r="G448" t="s">
        <v>91</v>
      </c>
      <c r="H448">
        <f t="shared" si="27"/>
        <v>9.792014</v>
      </c>
      <c r="I448">
        <v>41</v>
      </c>
      <c r="J448">
        <f t="shared" si="25"/>
        <v>401.47257400000001</v>
      </c>
      <c r="K448">
        <f t="shared" si="26"/>
        <v>401.47257400000001</v>
      </c>
    </row>
    <row r="449" spans="2:11" x14ac:dyDescent="0.25">
      <c r="B449" s="4">
        <v>45861</v>
      </c>
      <c r="C449" t="s">
        <v>34</v>
      </c>
      <c r="E449" t="s">
        <v>16</v>
      </c>
      <c r="F449">
        <v>56711.51</v>
      </c>
      <c r="G449" t="s">
        <v>91</v>
      </c>
      <c r="H449">
        <f t="shared" si="27"/>
        <v>3.701452999999999</v>
      </c>
      <c r="I449">
        <v>41</v>
      </c>
      <c r="J449">
        <f t="shared" si="25"/>
        <v>151.75957299999996</v>
      </c>
      <c r="K449">
        <f t="shared" si="26"/>
        <v>151.75957299999996</v>
      </c>
    </row>
    <row r="450" spans="2:11" x14ac:dyDescent="0.25">
      <c r="B450" s="4">
        <v>45861</v>
      </c>
      <c r="C450" t="s">
        <v>34</v>
      </c>
      <c r="E450" t="s">
        <v>17</v>
      </c>
      <c r="F450">
        <v>44508.83</v>
      </c>
      <c r="G450" t="s">
        <v>91</v>
      </c>
      <c r="H450">
        <f t="shared" si="27"/>
        <v>4.0649000000000157E-2</v>
      </c>
      <c r="I450">
        <v>41</v>
      </c>
      <c r="J450">
        <f t="shared" si="25"/>
        <v>1.6666090000000064</v>
      </c>
      <c r="K450">
        <f t="shared" si="26"/>
        <v>1.6666090000000064</v>
      </c>
    </row>
    <row r="451" spans="2:11" x14ac:dyDescent="0.25">
      <c r="B451" s="4">
        <v>45861</v>
      </c>
      <c r="C451" t="s">
        <v>34</v>
      </c>
      <c r="E451" t="s">
        <v>12</v>
      </c>
      <c r="F451">
        <v>49793.5</v>
      </c>
      <c r="G451" t="s">
        <v>91</v>
      </c>
      <c r="H451">
        <f t="shared" si="27"/>
        <v>1.6260499999999993</v>
      </c>
      <c r="I451">
        <v>41</v>
      </c>
      <c r="J451">
        <f t="shared" si="25"/>
        <v>66.668049999999965</v>
      </c>
      <c r="K451">
        <f t="shared" si="26"/>
        <v>66.668049999999965</v>
      </c>
    </row>
    <row r="452" spans="2:11" x14ac:dyDescent="0.25">
      <c r="B452" s="4">
        <v>45861</v>
      </c>
      <c r="C452" t="s">
        <v>34</v>
      </c>
      <c r="E452" t="s">
        <v>62</v>
      </c>
      <c r="F452">
        <v>152426.31</v>
      </c>
      <c r="G452" t="s">
        <v>91</v>
      </c>
      <c r="H452">
        <f t="shared" si="27"/>
        <v>32.415892999999997</v>
      </c>
      <c r="I452">
        <v>41</v>
      </c>
      <c r="J452">
        <f t="shared" si="25"/>
        <v>1329.0516129999999</v>
      </c>
      <c r="K452">
        <f t="shared" si="26"/>
        <v>1329.0516129999999</v>
      </c>
    </row>
    <row r="453" spans="2:11" x14ac:dyDescent="0.25">
      <c r="B453" s="4">
        <v>45861</v>
      </c>
      <c r="C453" t="s">
        <v>34</v>
      </c>
      <c r="E453" t="s">
        <v>18</v>
      </c>
      <c r="F453">
        <v>46783.53</v>
      </c>
      <c r="G453" t="s">
        <v>91</v>
      </c>
      <c r="H453">
        <f t="shared" si="27"/>
        <v>0.72305899999999923</v>
      </c>
      <c r="I453">
        <v>41</v>
      </c>
      <c r="J453">
        <f t="shared" si="25"/>
        <v>29.645418999999968</v>
      </c>
      <c r="K453">
        <f t="shared" si="26"/>
        <v>29.645418999999968</v>
      </c>
    </row>
    <row r="454" spans="2:11" x14ac:dyDescent="0.25">
      <c r="B454" s="4">
        <v>45861</v>
      </c>
      <c r="C454" t="s">
        <v>34</v>
      </c>
      <c r="E454" t="s">
        <v>19</v>
      </c>
      <c r="F454">
        <v>44471.11</v>
      </c>
      <c r="G454" t="s">
        <v>91</v>
      </c>
      <c r="H454">
        <f t="shared" si="27"/>
        <v>2.9332999999999387E-2</v>
      </c>
      <c r="I454">
        <v>41</v>
      </c>
      <c r="J454">
        <f t="shared" si="25"/>
        <v>1.2026529999999749</v>
      </c>
      <c r="K454">
        <f t="shared" si="26"/>
        <v>1.2026529999999749</v>
      </c>
    </row>
    <row r="455" spans="2:11" x14ac:dyDescent="0.25">
      <c r="B455" s="4">
        <v>45861</v>
      </c>
      <c r="C455" t="s">
        <v>34</v>
      </c>
      <c r="E455" t="s">
        <v>20</v>
      </c>
      <c r="F455">
        <v>65561.27</v>
      </c>
      <c r="G455" t="s">
        <v>91</v>
      </c>
      <c r="H455">
        <f t="shared" si="27"/>
        <v>6.3563810000000007</v>
      </c>
      <c r="I455">
        <v>41</v>
      </c>
      <c r="J455">
        <f t="shared" si="25"/>
        <v>260.61162100000001</v>
      </c>
      <c r="K455">
        <f t="shared" si="26"/>
        <v>260.61162100000001</v>
      </c>
    </row>
    <row r="456" spans="2:11" x14ac:dyDescent="0.25">
      <c r="B456" s="4">
        <v>45861</v>
      </c>
      <c r="C456" t="s">
        <v>34</v>
      </c>
      <c r="E456" t="s">
        <v>63</v>
      </c>
      <c r="F456">
        <v>62584.12</v>
      </c>
      <c r="G456" t="s">
        <v>91</v>
      </c>
      <c r="H456">
        <f t="shared" si="27"/>
        <v>5.4632360000000002</v>
      </c>
      <c r="I456">
        <v>41</v>
      </c>
      <c r="J456">
        <f t="shared" si="25"/>
        <v>223.99267600000002</v>
      </c>
      <c r="K456">
        <f t="shared" si="26"/>
        <v>223.99267600000002</v>
      </c>
    </row>
    <row r="457" spans="2:11" x14ac:dyDescent="0.25">
      <c r="B457" s="4">
        <v>45861</v>
      </c>
      <c r="C457" t="s">
        <v>34</v>
      </c>
      <c r="E457" t="s">
        <v>21</v>
      </c>
      <c r="F457">
        <v>45407.53</v>
      </c>
      <c r="G457" t="s">
        <v>91</v>
      </c>
      <c r="H457">
        <f t="shared" si="27"/>
        <v>0.31025899999999851</v>
      </c>
      <c r="I457">
        <v>41</v>
      </c>
      <c r="J457">
        <f t="shared" si="25"/>
        <v>12.720618999999939</v>
      </c>
      <c r="K457">
        <f t="shared" si="26"/>
        <v>12.720618999999939</v>
      </c>
    </row>
    <row r="458" spans="2:11" x14ac:dyDescent="0.25">
      <c r="B458" s="4">
        <v>45861</v>
      </c>
      <c r="C458" t="s">
        <v>34</v>
      </c>
      <c r="E458" t="s">
        <v>22</v>
      </c>
      <c r="F458">
        <v>148802.53</v>
      </c>
      <c r="G458" t="s">
        <v>91</v>
      </c>
      <c r="H458">
        <f t="shared" si="27"/>
        <v>31.328758999999998</v>
      </c>
      <c r="I458">
        <v>41</v>
      </c>
      <c r="J458">
        <f t="shared" si="25"/>
        <v>1284.4791189999999</v>
      </c>
      <c r="K458">
        <f t="shared" si="26"/>
        <v>1284.4791189999999</v>
      </c>
    </row>
    <row r="459" spans="2:11" x14ac:dyDescent="0.25">
      <c r="B459" s="4">
        <v>45861</v>
      </c>
      <c r="C459" t="s">
        <v>34</v>
      </c>
      <c r="E459" t="s">
        <v>23</v>
      </c>
      <c r="F459">
        <v>50867.35</v>
      </c>
      <c r="G459" t="s">
        <v>91</v>
      </c>
      <c r="H459">
        <f t="shared" si="27"/>
        <v>1.948204999999998</v>
      </c>
      <c r="I459">
        <v>41</v>
      </c>
      <c r="J459">
        <f t="shared" si="25"/>
        <v>79.87640499999992</v>
      </c>
      <c r="K459">
        <f t="shared" si="26"/>
        <v>79.87640499999992</v>
      </c>
    </row>
    <row r="460" spans="2:11" x14ac:dyDescent="0.25">
      <c r="B460" s="4">
        <v>45861</v>
      </c>
      <c r="C460" t="s">
        <v>34</v>
      </c>
      <c r="E460" t="s">
        <v>64</v>
      </c>
      <c r="F460">
        <v>72805.88</v>
      </c>
      <c r="G460" t="s">
        <v>91</v>
      </c>
      <c r="H460">
        <f t="shared" si="27"/>
        <v>8.5297639999999983</v>
      </c>
      <c r="I460">
        <v>41</v>
      </c>
      <c r="J460">
        <f t="shared" si="25"/>
        <v>349.72032399999995</v>
      </c>
      <c r="K460">
        <f t="shared" si="26"/>
        <v>349.72032399999995</v>
      </c>
    </row>
    <row r="461" spans="2:11" x14ac:dyDescent="0.25">
      <c r="B461" s="4">
        <v>45861</v>
      </c>
      <c r="C461" t="s">
        <v>34</v>
      </c>
      <c r="E461" t="s">
        <v>24</v>
      </c>
      <c r="F461">
        <v>52823.32</v>
      </c>
      <c r="G461" t="s">
        <v>91</v>
      </c>
      <c r="H461">
        <f t="shared" si="27"/>
        <v>2.5349959999999996</v>
      </c>
      <c r="I461">
        <v>41</v>
      </c>
      <c r="J461">
        <f t="shared" si="25"/>
        <v>103.93483599999999</v>
      </c>
      <c r="K461">
        <f t="shared" si="26"/>
        <v>103.93483599999999</v>
      </c>
    </row>
    <row r="462" spans="2:11" x14ac:dyDescent="0.25">
      <c r="B462" s="4">
        <v>45861</v>
      </c>
      <c r="C462" t="s">
        <v>34</v>
      </c>
      <c r="E462" t="s">
        <v>25</v>
      </c>
      <c r="F462">
        <v>49124.74</v>
      </c>
      <c r="G462" t="s">
        <v>91</v>
      </c>
      <c r="H462">
        <f t="shared" si="27"/>
        <v>1.4254219999999993</v>
      </c>
      <c r="I462">
        <v>41</v>
      </c>
      <c r="J462">
        <f t="shared" si="25"/>
        <v>58.44230199999997</v>
      </c>
      <c r="K462">
        <f t="shared" si="26"/>
        <v>58.44230199999997</v>
      </c>
    </row>
    <row r="463" spans="2:11" x14ac:dyDescent="0.25">
      <c r="B463" s="4">
        <v>45861</v>
      </c>
      <c r="C463" t="s">
        <v>34</v>
      </c>
      <c r="E463" t="s">
        <v>26</v>
      </c>
      <c r="F463">
        <v>49044.18</v>
      </c>
      <c r="G463" t="s">
        <v>91</v>
      </c>
      <c r="H463">
        <f t="shared" si="27"/>
        <v>1.4012539999999998</v>
      </c>
      <c r="I463">
        <v>41</v>
      </c>
      <c r="J463">
        <f t="shared" si="25"/>
        <v>57.451413999999993</v>
      </c>
      <c r="K463">
        <f t="shared" si="26"/>
        <v>57.451413999999993</v>
      </c>
    </row>
    <row r="464" spans="2:11" x14ac:dyDescent="0.25">
      <c r="B464" s="4">
        <v>45861</v>
      </c>
      <c r="C464" t="s">
        <v>34</v>
      </c>
      <c r="E464" t="s">
        <v>65</v>
      </c>
      <c r="F464">
        <v>222731.56</v>
      </c>
      <c r="G464" t="s">
        <v>91</v>
      </c>
      <c r="H464">
        <f t="shared" si="27"/>
        <v>53.507468000000003</v>
      </c>
      <c r="I464">
        <v>41</v>
      </c>
      <c r="J464">
        <f t="shared" si="25"/>
        <v>2193.806188</v>
      </c>
      <c r="K464">
        <f t="shared" si="26"/>
        <v>2193.806188</v>
      </c>
    </row>
    <row r="465" spans="2:11" x14ac:dyDescent="0.25">
      <c r="B465" s="4">
        <v>45861</v>
      </c>
      <c r="C465" t="s">
        <v>34</v>
      </c>
      <c r="E465" t="s">
        <v>27</v>
      </c>
      <c r="F465">
        <v>58709.8</v>
      </c>
      <c r="G465" t="s">
        <v>91</v>
      </c>
      <c r="H465">
        <f t="shared" si="27"/>
        <v>4.3009399999999989</v>
      </c>
      <c r="I465">
        <v>41</v>
      </c>
      <c r="J465">
        <f t="shared" si="25"/>
        <v>176.33853999999997</v>
      </c>
      <c r="K465">
        <f t="shared" si="26"/>
        <v>176.33853999999997</v>
      </c>
    </row>
    <row r="466" spans="2:11" x14ac:dyDescent="0.25">
      <c r="B466" s="4">
        <v>45861</v>
      </c>
      <c r="C466" t="s">
        <v>34</v>
      </c>
      <c r="E466" t="s">
        <v>28</v>
      </c>
      <c r="F466">
        <v>95843.99</v>
      </c>
      <c r="G466" t="s">
        <v>91</v>
      </c>
      <c r="H466">
        <f t="shared" si="27"/>
        <v>15.441197000000001</v>
      </c>
      <c r="I466">
        <v>41</v>
      </c>
      <c r="J466">
        <f t="shared" si="25"/>
        <v>633.08907699999997</v>
      </c>
      <c r="K466">
        <f t="shared" si="26"/>
        <v>633.08907699999997</v>
      </c>
    </row>
    <row r="467" spans="2:11" x14ac:dyDescent="0.25">
      <c r="B467" s="4">
        <v>45861</v>
      </c>
      <c r="C467" t="s">
        <v>34</v>
      </c>
      <c r="D467" t="s">
        <v>67</v>
      </c>
      <c r="E467">
        <v>1</v>
      </c>
      <c r="F467">
        <v>38261.120000000003</v>
      </c>
      <c r="G467" t="s">
        <v>91</v>
      </c>
      <c r="H467">
        <f t="shared" si="27"/>
        <v>-1.8336639999999989</v>
      </c>
      <c r="I467">
        <v>1</v>
      </c>
      <c r="J467">
        <f t="shared" si="25"/>
        <v>-1.8336639999999989</v>
      </c>
      <c r="K467">
        <f t="shared" si="26"/>
        <v>0</v>
      </c>
    </row>
    <row r="468" spans="2:11" x14ac:dyDescent="0.25">
      <c r="B468" s="4">
        <v>45861</v>
      </c>
      <c r="C468" t="s">
        <v>34</v>
      </c>
      <c r="D468" t="s">
        <v>67</v>
      </c>
      <c r="E468">
        <v>2</v>
      </c>
      <c r="F468">
        <v>74869.47</v>
      </c>
      <c r="G468" t="s">
        <v>91</v>
      </c>
      <c r="H468">
        <f t="shared" si="27"/>
        <v>9.1488409999999991</v>
      </c>
      <c r="I468">
        <v>1</v>
      </c>
      <c r="J468">
        <f t="shared" si="25"/>
        <v>9.1488409999999991</v>
      </c>
      <c r="K468">
        <f t="shared" si="26"/>
        <v>9.1488409999999991</v>
      </c>
    </row>
    <row r="469" spans="2:11" x14ac:dyDescent="0.25">
      <c r="B469" s="4">
        <v>45861</v>
      </c>
      <c r="C469" t="s">
        <v>34</v>
      </c>
      <c r="D469" t="s">
        <v>67</v>
      </c>
      <c r="E469">
        <v>3</v>
      </c>
      <c r="F469">
        <v>142612.85999999999</v>
      </c>
      <c r="G469" t="s">
        <v>91</v>
      </c>
      <c r="H469">
        <f t="shared" si="27"/>
        <v>29.471857999999997</v>
      </c>
      <c r="I469">
        <v>1</v>
      </c>
      <c r="J469">
        <f t="shared" si="25"/>
        <v>29.471857999999997</v>
      </c>
      <c r="K469">
        <f t="shared" si="26"/>
        <v>29.471857999999997</v>
      </c>
    </row>
    <row r="470" spans="2:11" x14ac:dyDescent="0.25">
      <c r="B470" s="4">
        <v>45862</v>
      </c>
      <c r="C470" t="s">
        <v>70</v>
      </c>
      <c r="E470" t="s">
        <v>13</v>
      </c>
      <c r="F470">
        <v>85731.48</v>
      </c>
      <c r="G470" t="s">
        <v>91</v>
      </c>
      <c r="H470">
        <f t="shared" si="27"/>
        <v>12.407443999999996</v>
      </c>
      <c r="I470">
        <v>41</v>
      </c>
      <c r="J470">
        <f t="shared" si="25"/>
        <v>508.70520399999987</v>
      </c>
      <c r="K470">
        <f t="shared" si="26"/>
        <v>508.70520399999987</v>
      </c>
    </row>
    <row r="471" spans="2:11" x14ac:dyDescent="0.25">
      <c r="B471" s="4">
        <v>45862</v>
      </c>
      <c r="C471" t="s">
        <v>70</v>
      </c>
      <c r="E471" t="s">
        <v>14</v>
      </c>
      <c r="F471">
        <v>54562.19</v>
      </c>
      <c r="G471" t="s">
        <v>91</v>
      </c>
      <c r="H471">
        <f t="shared" si="27"/>
        <v>3.0566569999999995</v>
      </c>
      <c r="I471">
        <v>41</v>
      </c>
      <c r="J471">
        <f t="shared" si="25"/>
        <v>125.32293699999998</v>
      </c>
      <c r="K471">
        <f t="shared" si="26"/>
        <v>125.32293699999998</v>
      </c>
    </row>
    <row r="472" spans="2:11" x14ac:dyDescent="0.25">
      <c r="B472" s="4">
        <v>45862</v>
      </c>
      <c r="C472" t="s">
        <v>70</v>
      </c>
      <c r="E472" t="s">
        <v>15</v>
      </c>
      <c r="F472">
        <v>83537.02</v>
      </c>
      <c r="G472" t="s">
        <v>91</v>
      </c>
      <c r="H472">
        <f t="shared" si="27"/>
        <v>11.749105999999999</v>
      </c>
      <c r="I472">
        <v>41</v>
      </c>
      <c r="J472">
        <f t="shared" si="25"/>
        <v>481.713346</v>
      </c>
      <c r="K472">
        <f t="shared" si="26"/>
        <v>481.713346</v>
      </c>
    </row>
    <row r="473" spans="2:11" x14ac:dyDescent="0.25">
      <c r="B473" s="4">
        <v>45862</v>
      </c>
      <c r="C473" t="s">
        <v>70</v>
      </c>
      <c r="E473" t="s">
        <v>61</v>
      </c>
      <c r="F473">
        <v>125225.48</v>
      </c>
      <c r="G473" t="s">
        <v>91</v>
      </c>
      <c r="H473">
        <f t="shared" si="27"/>
        <v>24.255643999999997</v>
      </c>
      <c r="I473">
        <v>41</v>
      </c>
      <c r="J473">
        <f t="shared" si="25"/>
        <v>994.48140399999988</v>
      </c>
      <c r="K473">
        <f t="shared" si="26"/>
        <v>994.48140399999988</v>
      </c>
    </row>
    <row r="474" spans="2:11" x14ac:dyDescent="0.25">
      <c r="B474" s="4">
        <v>45862</v>
      </c>
      <c r="C474" t="s">
        <v>70</v>
      </c>
      <c r="E474" t="s">
        <v>16</v>
      </c>
      <c r="F474">
        <v>68926.460000000006</v>
      </c>
      <c r="G474" t="s">
        <v>91</v>
      </c>
      <c r="H474">
        <f t="shared" si="27"/>
        <v>7.3659380000000017</v>
      </c>
      <c r="I474">
        <v>41</v>
      </c>
      <c r="J474">
        <f t="shared" si="25"/>
        <v>302.00345800000008</v>
      </c>
      <c r="K474">
        <f t="shared" si="26"/>
        <v>302.00345800000008</v>
      </c>
    </row>
    <row r="475" spans="2:11" x14ac:dyDescent="0.25">
      <c r="B475" s="4">
        <v>45862</v>
      </c>
      <c r="C475" t="s">
        <v>70</v>
      </c>
      <c r="E475" t="s">
        <v>17</v>
      </c>
      <c r="F475">
        <v>56268.76</v>
      </c>
      <c r="G475" t="s">
        <v>91</v>
      </c>
      <c r="H475">
        <f t="shared" si="27"/>
        <v>3.5686279999999986</v>
      </c>
      <c r="I475">
        <v>41</v>
      </c>
      <c r="J475">
        <f t="shared" si="25"/>
        <v>146.31374799999995</v>
      </c>
      <c r="K475">
        <f t="shared" si="26"/>
        <v>146.31374799999995</v>
      </c>
    </row>
    <row r="476" spans="2:11" x14ac:dyDescent="0.25">
      <c r="B476" s="4">
        <v>45862</v>
      </c>
      <c r="C476" t="s">
        <v>70</v>
      </c>
      <c r="E476" t="s">
        <v>12</v>
      </c>
      <c r="F476">
        <v>51134.7</v>
      </c>
      <c r="G476" t="s">
        <v>91</v>
      </c>
      <c r="H476">
        <f t="shared" si="27"/>
        <v>2.0284099999999992</v>
      </c>
      <c r="I476">
        <v>41</v>
      </c>
      <c r="J476">
        <f t="shared" si="25"/>
        <v>83.16480999999996</v>
      </c>
      <c r="K476">
        <f t="shared" si="26"/>
        <v>83.16480999999996</v>
      </c>
    </row>
    <row r="477" spans="2:11" x14ac:dyDescent="0.25">
      <c r="B477" s="4">
        <v>45862</v>
      </c>
      <c r="C477" t="s">
        <v>70</v>
      </c>
      <c r="E477" t="s">
        <v>62</v>
      </c>
      <c r="F477">
        <v>50356.07</v>
      </c>
      <c r="G477" t="s">
        <v>91</v>
      </c>
      <c r="H477">
        <f t="shared" si="27"/>
        <v>1.7948209999999989</v>
      </c>
      <c r="I477">
        <v>41</v>
      </c>
      <c r="J477">
        <f t="shared" si="25"/>
        <v>73.587660999999954</v>
      </c>
      <c r="K477">
        <f t="shared" si="26"/>
        <v>73.587660999999954</v>
      </c>
    </row>
    <row r="478" spans="2:11" x14ac:dyDescent="0.25">
      <c r="B478" s="4">
        <v>45862</v>
      </c>
      <c r="C478" t="s">
        <v>70</v>
      </c>
      <c r="E478" t="s">
        <v>18</v>
      </c>
      <c r="F478">
        <v>44657.71</v>
      </c>
      <c r="G478" t="s">
        <v>91</v>
      </c>
      <c r="H478">
        <f t="shared" si="27"/>
        <v>8.5312999999999306E-2</v>
      </c>
      <c r="I478">
        <v>41</v>
      </c>
      <c r="J478">
        <f t="shared" si="25"/>
        <v>3.4978329999999715</v>
      </c>
      <c r="K478">
        <f t="shared" si="26"/>
        <v>3.4978329999999715</v>
      </c>
    </row>
    <row r="479" spans="2:11" x14ac:dyDescent="0.25">
      <c r="B479" s="4">
        <v>45862</v>
      </c>
      <c r="C479" t="s">
        <v>70</v>
      </c>
      <c r="E479" t="s">
        <v>19</v>
      </c>
      <c r="F479">
        <v>84067.5</v>
      </c>
      <c r="G479" t="s">
        <v>91</v>
      </c>
      <c r="H479">
        <f t="shared" si="27"/>
        <v>11.908249999999997</v>
      </c>
      <c r="I479">
        <v>41</v>
      </c>
      <c r="J479">
        <f t="shared" si="25"/>
        <v>488.23824999999988</v>
      </c>
      <c r="K479">
        <f t="shared" si="26"/>
        <v>488.23824999999988</v>
      </c>
    </row>
    <row r="480" spans="2:11" x14ac:dyDescent="0.25">
      <c r="B480" s="4">
        <v>45862</v>
      </c>
      <c r="C480" t="s">
        <v>70</v>
      </c>
      <c r="E480" t="s">
        <v>20</v>
      </c>
      <c r="F480">
        <v>58868.76</v>
      </c>
      <c r="G480" t="s">
        <v>91</v>
      </c>
      <c r="H480">
        <f t="shared" si="27"/>
        <v>4.3486279999999997</v>
      </c>
      <c r="I480">
        <v>41</v>
      </c>
      <c r="J480">
        <f t="shared" si="25"/>
        <v>178.29374799999999</v>
      </c>
      <c r="K480">
        <f t="shared" si="26"/>
        <v>178.29374799999999</v>
      </c>
    </row>
    <row r="481" spans="2:11" x14ac:dyDescent="0.25">
      <c r="B481" s="4">
        <v>45862</v>
      </c>
      <c r="C481" t="s">
        <v>70</v>
      </c>
      <c r="E481" t="s">
        <v>63</v>
      </c>
      <c r="F481">
        <v>58618.11</v>
      </c>
      <c r="G481" t="s">
        <v>91</v>
      </c>
      <c r="H481">
        <f t="shared" si="27"/>
        <v>4.2734329999999989</v>
      </c>
      <c r="I481">
        <v>41</v>
      </c>
      <c r="J481">
        <f t="shared" si="25"/>
        <v>175.21075299999995</v>
      </c>
      <c r="K481">
        <f t="shared" si="26"/>
        <v>175.21075299999995</v>
      </c>
    </row>
    <row r="482" spans="2:11" x14ac:dyDescent="0.25">
      <c r="B482" s="4">
        <v>45862</v>
      </c>
      <c r="C482" t="s">
        <v>70</v>
      </c>
      <c r="E482" t="s">
        <v>21</v>
      </c>
      <c r="F482">
        <v>110420.55</v>
      </c>
      <c r="G482" t="s">
        <v>91</v>
      </c>
      <c r="H482">
        <f t="shared" si="27"/>
        <v>19.814165000000003</v>
      </c>
      <c r="I482">
        <v>41</v>
      </c>
      <c r="J482">
        <f t="shared" si="25"/>
        <v>812.38076500000011</v>
      </c>
      <c r="K482">
        <f t="shared" si="26"/>
        <v>812.38076500000011</v>
      </c>
    </row>
    <row r="483" spans="2:11" x14ac:dyDescent="0.25">
      <c r="B483" s="4">
        <v>45862</v>
      </c>
      <c r="C483" t="s">
        <v>70</v>
      </c>
      <c r="E483" t="s">
        <v>22</v>
      </c>
      <c r="F483">
        <v>87049.88</v>
      </c>
      <c r="G483" t="s">
        <v>91</v>
      </c>
      <c r="H483">
        <f t="shared" si="27"/>
        <v>12.802964000000001</v>
      </c>
      <c r="I483">
        <v>41</v>
      </c>
      <c r="J483">
        <f t="shared" si="25"/>
        <v>524.92152400000009</v>
      </c>
      <c r="K483">
        <f t="shared" si="26"/>
        <v>524.92152400000009</v>
      </c>
    </row>
    <row r="484" spans="2:11" x14ac:dyDescent="0.25">
      <c r="B484" s="4">
        <v>45862</v>
      </c>
      <c r="C484" t="s">
        <v>70</v>
      </c>
      <c r="E484" t="s">
        <v>23</v>
      </c>
      <c r="F484">
        <v>48612.5</v>
      </c>
      <c r="G484" t="s">
        <v>91</v>
      </c>
      <c r="H484">
        <f t="shared" si="27"/>
        <v>1.271749999999999</v>
      </c>
      <c r="I484">
        <v>41</v>
      </c>
      <c r="J484">
        <f t="shared" si="25"/>
        <v>52.141749999999959</v>
      </c>
      <c r="K484">
        <f t="shared" si="26"/>
        <v>52.141749999999959</v>
      </c>
    </row>
    <row r="485" spans="2:11" x14ac:dyDescent="0.25">
      <c r="B485" s="4">
        <v>45862</v>
      </c>
      <c r="C485" t="s">
        <v>70</v>
      </c>
      <c r="E485" t="s">
        <v>64</v>
      </c>
      <c r="F485">
        <v>66327.539999999994</v>
      </c>
      <c r="G485" t="s">
        <v>91</v>
      </c>
      <c r="H485">
        <f t="shared" si="27"/>
        <v>6.5862619999999961</v>
      </c>
      <c r="I485">
        <v>41</v>
      </c>
      <c r="J485">
        <f t="shared" si="25"/>
        <v>270.03674199999983</v>
      </c>
      <c r="K485">
        <f t="shared" si="26"/>
        <v>270.03674199999983</v>
      </c>
    </row>
    <row r="486" spans="2:11" x14ac:dyDescent="0.25">
      <c r="B486" s="4">
        <v>45862</v>
      </c>
      <c r="C486" t="s">
        <v>70</v>
      </c>
      <c r="E486" t="s">
        <v>24</v>
      </c>
      <c r="F486">
        <v>55980.95</v>
      </c>
      <c r="G486" t="s">
        <v>91</v>
      </c>
      <c r="H486">
        <f t="shared" si="27"/>
        <v>3.4822849999999992</v>
      </c>
      <c r="I486">
        <v>41</v>
      </c>
      <c r="J486">
        <f t="shared" si="25"/>
        <v>142.77368499999997</v>
      </c>
      <c r="K486">
        <f t="shared" si="26"/>
        <v>142.77368499999997</v>
      </c>
    </row>
    <row r="487" spans="2:11" x14ac:dyDescent="0.25">
      <c r="B487" s="4">
        <v>45862</v>
      </c>
      <c r="C487" t="s">
        <v>70</v>
      </c>
      <c r="E487" t="s">
        <v>25</v>
      </c>
      <c r="F487">
        <v>56042.29</v>
      </c>
      <c r="G487" t="s">
        <v>91</v>
      </c>
      <c r="H487">
        <f t="shared" si="27"/>
        <v>3.500687000000001</v>
      </c>
      <c r="I487">
        <v>41</v>
      </c>
      <c r="J487">
        <f t="shared" si="25"/>
        <v>143.52816700000005</v>
      </c>
      <c r="K487">
        <f t="shared" si="26"/>
        <v>143.52816700000005</v>
      </c>
    </row>
    <row r="488" spans="2:11" x14ac:dyDescent="0.25">
      <c r="B488" s="4">
        <v>45862</v>
      </c>
      <c r="C488" t="s">
        <v>70</v>
      </c>
      <c r="E488" t="s">
        <v>26</v>
      </c>
      <c r="F488">
        <v>49543.42</v>
      </c>
      <c r="G488" t="s">
        <v>91</v>
      </c>
      <c r="H488">
        <f t="shared" si="27"/>
        <v>1.5510259999999985</v>
      </c>
      <c r="I488">
        <v>41</v>
      </c>
      <c r="J488">
        <f t="shared" si="25"/>
        <v>63.592065999999939</v>
      </c>
      <c r="K488">
        <f t="shared" si="26"/>
        <v>63.592065999999939</v>
      </c>
    </row>
    <row r="489" spans="2:11" x14ac:dyDescent="0.25">
      <c r="B489" s="4">
        <v>45862</v>
      </c>
      <c r="C489" t="s">
        <v>70</v>
      </c>
      <c r="E489" t="s">
        <v>65</v>
      </c>
      <c r="F489">
        <v>46031.93</v>
      </c>
      <c r="G489" t="s">
        <v>91</v>
      </c>
      <c r="H489">
        <f t="shared" si="27"/>
        <v>0.49757899999999999</v>
      </c>
      <c r="I489">
        <v>41</v>
      </c>
      <c r="J489">
        <f t="shared" si="25"/>
        <v>20.400739000000002</v>
      </c>
      <c r="K489">
        <f t="shared" si="26"/>
        <v>20.400739000000002</v>
      </c>
    </row>
    <row r="490" spans="2:11" x14ac:dyDescent="0.25">
      <c r="B490" s="4">
        <v>45862</v>
      </c>
      <c r="C490" t="s">
        <v>70</v>
      </c>
      <c r="E490" t="s">
        <v>27</v>
      </c>
      <c r="F490">
        <v>57401.65</v>
      </c>
      <c r="G490" t="s">
        <v>91</v>
      </c>
      <c r="H490">
        <f t="shared" si="27"/>
        <v>3.9084950000000003</v>
      </c>
      <c r="I490">
        <v>41</v>
      </c>
      <c r="J490">
        <f t="shared" si="25"/>
        <v>160.24829500000001</v>
      </c>
      <c r="K490">
        <f t="shared" si="26"/>
        <v>160.24829500000001</v>
      </c>
    </row>
    <row r="491" spans="2:11" x14ac:dyDescent="0.25">
      <c r="B491" s="4">
        <v>45862</v>
      </c>
      <c r="C491" t="s">
        <v>70</v>
      </c>
      <c r="E491" t="s">
        <v>28</v>
      </c>
      <c r="F491">
        <v>49105.1</v>
      </c>
      <c r="G491" t="s">
        <v>91</v>
      </c>
      <c r="H491">
        <f t="shared" si="27"/>
        <v>1.4195299999999982</v>
      </c>
      <c r="I491">
        <v>41</v>
      </c>
      <c r="J491">
        <f t="shared" si="25"/>
        <v>58.200729999999922</v>
      </c>
      <c r="K491">
        <f t="shared" si="26"/>
        <v>58.200729999999922</v>
      </c>
    </row>
    <row r="492" spans="2:11" x14ac:dyDescent="0.25">
      <c r="B492" s="4">
        <v>45862</v>
      </c>
      <c r="C492" t="s">
        <v>70</v>
      </c>
      <c r="E492" t="s">
        <v>29</v>
      </c>
      <c r="F492">
        <v>48114.67</v>
      </c>
      <c r="G492" t="s">
        <v>91</v>
      </c>
      <c r="H492">
        <f t="shared" si="27"/>
        <v>1.1224009999999982</v>
      </c>
      <c r="I492">
        <v>41</v>
      </c>
      <c r="J492">
        <f t="shared" si="25"/>
        <v>46.018440999999925</v>
      </c>
      <c r="K492">
        <f t="shared" si="26"/>
        <v>46.018440999999925</v>
      </c>
    </row>
    <row r="493" spans="2:11" x14ac:dyDescent="0.25">
      <c r="B493" s="4">
        <v>45862</v>
      </c>
      <c r="C493" t="s">
        <v>70</v>
      </c>
      <c r="E493" t="s">
        <v>66</v>
      </c>
      <c r="F493">
        <v>46471.26</v>
      </c>
      <c r="G493" t="s">
        <v>91</v>
      </c>
      <c r="H493">
        <f t="shared" si="27"/>
        <v>0.62937800000000088</v>
      </c>
      <c r="I493">
        <v>41</v>
      </c>
      <c r="J493">
        <f t="shared" si="25"/>
        <v>25.804498000000038</v>
      </c>
      <c r="K493">
        <f t="shared" si="26"/>
        <v>25.804498000000038</v>
      </c>
    </row>
    <row r="494" spans="2:11" x14ac:dyDescent="0.25">
      <c r="B494" s="4">
        <v>45862</v>
      </c>
      <c r="C494" t="s">
        <v>70</v>
      </c>
      <c r="D494" t="s">
        <v>67</v>
      </c>
      <c r="E494">
        <v>1</v>
      </c>
      <c r="F494">
        <v>48570.91</v>
      </c>
      <c r="G494" t="s">
        <v>91</v>
      </c>
      <c r="H494">
        <f t="shared" si="27"/>
        <v>1.2592730000000003</v>
      </c>
      <c r="I494">
        <v>1</v>
      </c>
      <c r="J494">
        <f t="shared" si="25"/>
        <v>1.2592730000000003</v>
      </c>
      <c r="K494">
        <f t="shared" si="26"/>
        <v>1.2592730000000003</v>
      </c>
    </row>
    <row r="495" spans="2:11" x14ac:dyDescent="0.25">
      <c r="B495" s="4">
        <v>45862</v>
      </c>
      <c r="C495" t="s">
        <v>70</v>
      </c>
      <c r="D495" t="s">
        <v>67</v>
      </c>
      <c r="E495">
        <v>2</v>
      </c>
      <c r="F495">
        <v>61272.29</v>
      </c>
      <c r="G495" t="s">
        <v>91</v>
      </c>
      <c r="H495">
        <f t="shared" si="27"/>
        <v>5.0696870000000001</v>
      </c>
      <c r="I495">
        <v>1</v>
      </c>
      <c r="J495">
        <f t="shared" ref="J495:J558" si="28">H495*I495</f>
        <v>5.0696870000000001</v>
      </c>
      <c r="K495">
        <f t="shared" ref="K495:K558" si="29">MAX(J495,0)</f>
        <v>5.0696870000000001</v>
      </c>
    </row>
    <row r="496" spans="2:11" x14ac:dyDescent="0.25">
      <c r="B496" s="4">
        <v>45862</v>
      </c>
      <c r="C496" t="s">
        <v>70</v>
      </c>
      <c r="D496" t="s">
        <v>67</v>
      </c>
      <c r="E496">
        <v>3</v>
      </c>
      <c r="F496">
        <v>71625.02</v>
      </c>
      <c r="G496" t="s">
        <v>91</v>
      </c>
      <c r="H496">
        <f t="shared" ref="H496:H559" si="30">(0.0003*F496)-13.312</f>
        <v>8.1755060000000004</v>
      </c>
      <c r="I496">
        <v>1</v>
      </c>
      <c r="J496">
        <f t="shared" si="28"/>
        <v>8.1755060000000004</v>
      </c>
      <c r="K496">
        <f t="shared" si="29"/>
        <v>8.1755060000000004</v>
      </c>
    </row>
    <row r="497" spans="2:11" x14ac:dyDescent="0.25">
      <c r="B497" s="4">
        <v>45862</v>
      </c>
      <c r="C497" t="s">
        <v>71</v>
      </c>
      <c r="E497" t="s">
        <v>13</v>
      </c>
      <c r="F497">
        <v>50683.78</v>
      </c>
      <c r="G497" t="s">
        <v>91</v>
      </c>
      <c r="H497">
        <f t="shared" si="30"/>
        <v>1.8931339999999981</v>
      </c>
      <c r="I497">
        <v>41</v>
      </c>
      <c r="J497">
        <f t="shared" si="28"/>
        <v>77.618493999999927</v>
      </c>
      <c r="K497">
        <f t="shared" si="29"/>
        <v>77.618493999999927</v>
      </c>
    </row>
    <row r="498" spans="2:11" x14ac:dyDescent="0.25">
      <c r="B498" s="4">
        <v>45862</v>
      </c>
      <c r="C498" t="s">
        <v>71</v>
      </c>
      <c r="E498" t="s">
        <v>14</v>
      </c>
      <c r="F498">
        <v>25971.88</v>
      </c>
      <c r="G498" t="s">
        <v>91</v>
      </c>
      <c r="H498">
        <f t="shared" si="30"/>
        <v>-5.5204360000000001</v>
      </c>
      <c r="I498">
        <v>41</v>
      </c>
      <c r="J498">
        <f t="shared" si="28"/>
        <v>-226.33787599999999</v>
      </c>
      <c r="K498">
        <f t="shared" si="29"/>
        <v>0</v>
      </c>
    </row>
    <row r="499" spans="2:11" x14ac:dyDescent="0.25">
      <c r="B499" s="4">
        <v>45862</v>
      </c>
      <c r="C499" t="s">
        <v>71</v>
      </c>
      <c r="E499" t="s">
        <v>15</v>
      </c>
      <c r="F499">
        <v>47461.75</v>
      </c>
      <c r="G499" t="s">
        <v>91</v>
      </c>
      <c r="H499">
        <f t="shared" si="30"/>
        <v>0.92652499999999982</v>
      </c>
      <c r="I499">
        <v>41</v>
      </c>
      <c r="J499">
        <f t="shared" si="28"/>
        <v>37.987524999999991</v>
      </c>
      <c r="K499">
        <f t="shared" si="29"/>
        <v>37.987524999999991</v>
      </c>
    </row>
    <row r="500" spans="2:11" x14ac:dyDescent="0.25">
      <c r="B500" s="4">
        <v>45862</v>
      </c>
      <c r="C500" t="s">
        <v>71</v>
      </c>
      <c r="E500" t="s">
        <v>61</v>
      </c>
      <c r="F500">
        <v>59826.05</v>
      </c>
      <c r="G500" t="s">
        <v>91</v>
      </c>
      <c r="H500">
        <f t="shared" si="30"/>
        <v>4.6358149999999991</v>
      </c>
      <c r="I500">
        <v>41</v>
      </c>
      <c r="J500">
        <f t="shared" si="28"/>
        <v>190.06841499999996</v>
      </c>
      <c r="K500">
        <f t="shared" si="29"/>
        <v>190.06841499999996</v>
      </c>
    </row>
    <row r="501" spans="2:11" x14ac:dyDescent="0.25">
      <c r="B501" s="4">
        <v>45862</v>
      </c>
      <c r="C501" t="s">
        <v>71</v>
      </c>
      <c r="E501" t="s">
        <v>16</v>
      </c>
      <c r="F501">
        <v>148109.20000000001</v>
      </c>
      <c r="G501" t="s">
        <v>91</v>
      </c>
      <c r="H501">
        <f t="shared" si="30"/>
        <v>31.120760000000004</v>
      </c>
      <c r="I501">
        <v>41</v>
      </c>
      <c r="J501">
        <f t="shared" si="28"/>
        <v>1275.9511600000001</v>
      </c>
      <c r="K501">
        <f t="shared" si="29"/>
        <v>1275.9511600000001</v>
      </c>
    </row>
    <row r="502" spans="2:11" x14ac:dyDescent="0.25">
      <c r="B502" s="4">
        <v>45862</v>
      </c>
      <c r="C502" t="s">
        <v>71</v>
      </c>
      <c r="E502" t="s">
        <v>17</v>
      </c>
      <c r="F502">
        <v>36722.71</v>
      </c>
      <c r="G502" t="s">
        <v>91</v>
      </c>
      <c r="H502">
        <f t="shared" si="30"/>
        <v>-2.2951870000000003</v>
      </c>
      <c r="I502">
        <v>41</v>
      </c>
      <c r="J502">
        <f t="shared" si="28"/>
        <v>-94.102667000000011</v>
      </c>
      <c r="K502">
        <f t="shared" si="29"/>
        <v>0</v>
      </c>
    </row>
    <row r="503" spans="2:11" x14ac:dyDescent="0.25">
      <c r="B503" s="4">
        <v>45862</v>
      </c>
      <c r="C503" t="s">
        <v>71</v>
      </c>
      <c r="E503" t="s">
        <v>12</v>
      </c>
      <c r="F503">
        <v>59270.39</v>
      </c>
      <c r="G503" t="s">
        <v>91</v>
      </c>
      <c r="H503">
        <f t="shared" si="30"/>
        <v>4.4691169999999989</v>
      </c>
      <c r="I503">
        <v>41</v>
      </c>
      <c r="J503">
        <f t="shared" si="28"/>
        <v>183.23379699999995</v>
      </c>
      <c r="K503">
        <f t="shared" si="29"/>
        <v>183.23379699999995</v>
      </c>
    </row>
    <row r="504" spans="2:11" x14ac:dyDescent="0.25">
      <c r="B504" s="4">
        <v>45862</v>
      </c>
      <c r="C504" t="s">
        <v>71</v>
      </c>
      <c r="E504" t="s">
        <v>62</v>
      </c>
      <c r="F504">
        <v>53637.68</v>
      </c>
      <c r="G504" t="s">
        <v>91</v>
      </c>
      <c r="H504">
        <f t="shared" si="30"/>
        <v>2.779303999999998</v>
      </c>
      <c r="I504">
        <v>41</v>
      </c>
      <c r="J504">
        <f t="shared" si="28"/>
        <v>113.95146399999992</v>
      </c>
      <c r="K504">
        <f t="shared" si="29"/>
        <v>113.95146399999992</v>
      </c>
    </row>
    <row r="505" spans="2:11" x14ac:dyDescent="0.25">
      <c r="B505" s="4">
        <v>45862</v>
      </c>
      <c r="C505" t="s">
        <v>71</v>
      </c>
      <c r="E505" t="s">
        <v>18</v>
      </c>
      <c r="F505">
        <v>35978.980000000003</v>
      </c>
      <c r="G505" t="s">
        <v>91</v>
      </c>
      <c r="H505">
        <f t="shared" si="30"/>
        <v>-2.518305999999999</v>
      </c>
      <c r="I505">
        <v>41</v>
      </c>
      <c r="J505">
        <f t="shared" si="28"/>
        <v>-103.25054599999996</v>
      </c>
      <c r="K505">
        <f t="shared" si="29"/>
        <v>0</v>
      </c>
    </row>
    <row r="506" spans="2:11" x14ac:dyDescent="0.25">
      <c r="B506" s="4">
        <v>45862</v>
      </c>
      <c r="C506" t="s">
        <v>71</v>
      </c>
      <c r="E506" t="s">
        <v>19</v>
      </c>
      <c r="F506">
        <v>50466.97</v>
      </c>
      <c r="G506" t="s">
        <v>91</v>
      </c>
      <c r="H506">
        <f t="shared" si="30"/>
        <v>1.8280909999999988</v>
      </c>
      <c r="I506">
        <v>41</v>
      </c>
      <c r="J506">
        <f t="shared" si="28"/>
        <v>74.951730999999953</v>
      </c>
      <c r="K506">
        <f t="shared" si="29"/>
        <v>74.951730999999953</v>
      </c>
    </row>
    <row r="507" spans="2:11" x14ac:dyDescent="0.25">
      <c r="B507" s="4">
        <v>45862</v>
      </c>
      <c r="C507" t="s">
        <v>71</v>
      </c>
      <c r="E507" t="s">
        <v>20</v>
      </c>
      <c r="F507">
        <v>35792.47</v>
      </c>
      <c r="G507" t="s">
        <v>91</v>
      </c>
      <c r="H507">
        <f t="shared" si="30"/>
        <v>-2.5742589999999996</v>
      </c>
      <c r="I507">
        <v>41</v>
      </c>
      <c r="J507">
        <f t="shared" si="28"/>
        <v>-105.54461899999998</v>
      </c>
      <c r="K507">
        <f t="shared" si="29"/>
        <v>0</v>
      </c>
    </row>
    <row r="508" spans="2:11" x14ac:dyDescent="0.25">
      <c r="B508" s="4">
        <v>45862</v>
      </c>
      <c r="C508" t="s">
        <v>71</v>
      </c>
      <c r="E508" t="s">
        <v>63</v>
      </c>
      <c r="F508">
        <v>35219.839999999997</v>
      </c>
      <c r="G508" t="s">
        <v>91</v>
      </c>
      <c r="H508">
        <f t="shared" si="30"/>
        <v>-2.7460480000000018</v>
      </c>
      <c r="I508">
        <v>41</v>
      </c>
      <c r="J508">
        <f t="shared" si="28"/>
        <v>-112.58796800000007</v>
      </c>
      <c r="K508">
        <f t="shared" si="29"/>
        <v>0</v>
      </c>
    </row>
    <row r="509" spans="2:11" x14ac:dyDescent="0.25">
      <c r="B509" s="4">
        <v>45862</v>
      </c>
      <c r="C509" t="s">
        <v>71</v>
      </c>
      <c r="E509" t="s">
        <v>21</v>
      </c>
      <c r="F509">
        <v>31324.78</v>
      </c>
      <c r="G509" t="s">
        <v>91</v>
      </c>
      <c r="H509">
        <f t="shared" si="30"/>
        <v>-3.9145660000000007</v>
      </c>
      <c r="I509">
        <v>41</v>
      </c>
      <c r="J509">
        <f t="shared" si="28"/>
        <v>-160.49720600000003</v>
      </c>
      <c r="K509">
        <f t="shared" si="29"/>
        <v>0</v>
      </c>
    </row>
    <row r="510" spans="2:11" x14ac:dyDescent="0.25">
      <c r="B510" s="4">
        <v>45862</v>
      </c>
      <c r="C510" t="s">
        <v>71</v>
      </c>
      <c r="E510" t="s">
        <v>22</v>
      </c>
      <c r="F510">
        <v>25995.83</v>
      </c>
      <c r="G510" t="s">
        <v>91</v>
      </c>
      <c r="H510">
        <f t="shared" si="30"/>
        <v>-5.5132509999999995</v>
      </c>
      <c r="I510">
        <v>41</v>
      </c>
      <c r="J510">
        <f t="shared" si="28"/>
        <v>-226.04329099999998</v>
      </c>
      <c r="K510">
        <f t="shared" si="29"/>
        <v>0</v>
      </c>
    </row>
    <row r="511" spans="2:11" x14ac:dyDescent="0.25">
      <c r="B511" s="4">
        <v>45862</v>
      </c>
      <c r="C511" t="s">
        <v>71</v>
      </c>
      <c r="E511" t="s">
        <v>23</v>
      </c>
      <c r="F511">
        <v>52727.09</v>
      </c>
      <c r="G511" t="s">
        <v>91</v>
      </c>
      <c r="H511">
        <f t="shared" si="30"/>
        <v>2.5061269999999976</v>
      </c>
      <c r="I511">
        <v>41</v>
      </c>
      <c r="J511">
        <f t="shared" si="28"/>
        <v>102.75120699999989</v>
      </c>
      <c r="K511">
        <f t="shared" si="29"/>
        <v>102.75120699999989</v>
      </c>
    </row>
    <row r="512" spans="2:11" x14ac:dyDescent="0.25">
      <c r="B512" s="4">
        <v>45862</v>
      </c>
      <c r="C512" t="s">
        <v>71</v>
      </c>
      <c r="E512" t="s">
        <v>64</v>
      </c>
      <c r="F512">
        <v>279553</v>
      </c>
      <c r="G512" t="s">
        <v>91</v>
      </c>
      <c r="H512">
        <f t="shared" si="30"/>
        <v>70.553899999999999</v>
      </c>
      <c r="I512">
        <v>41</v>
      </c>
      <c r="J512">
        <f t="shared" si="28"/>
        <v>2892.7098999999998</v>
      </c>
      <c r="K512">
        <f t="shared" si="29"/>
        <v>2892.7098999999998</v>
      </c>
    </row>
    <row r="513" spans="2:11" x14ac:dyDescent="0.25">
      <c r="B513" s="4">
        <v>45862</v>
      </c>
      <c r="C513" t="s">
        <v>71</v>
      </c>
      <c r="E513" t="s">
        <v>24</v>
      </c>
      <c r="F513">
        <v>59675.64</v>
      </c>
      <c r="G513" t="s">
        <v>91</v>
      </c>
      <c r="H513">
        <f t="shared" si="30"/>
        <v>4.5906919999999989</v>
      </c>
      <c r="I513">
        <v>41</v>
      </c>
      <c r="J513">
        <f t="shared" si="28"/>
        <v>188.21837199999996</v>
      </c>
      <c r="K513">
        <f t="shared" si="29"/>
        <v>188.21837199999996</v>
      </c>
    </row>
    <row r="514" spans="2:11" x14ac:dyDescent="0.25">
      <c r="B514" s="4">
        <v>45862</v>
      </c>
      <c r="C514" t="s">
        <v>71</v>
      </c>
      <c r="E514" t="s">
        <v>25</v>
      </c>
      <c r="F514">
        <v>82672.800000000003</v>
      </c>
      <c r="G514" t="s">
        <v>91</v>
      </c>
      <c r="H514">
        <f t="shared" si="30"/>
        <v>11.489839999999999</v>
      </c>
      <c r="I514">
        <v>41</v>
      </c>
      <c r="J514">
        <f t="shared" si="28"/>
        <v>471.08343999999994</v>
      </c>
      <c r="K514">
        <f t="shared" si="29"/>
        <v>471.08343999999994</v>
      </c>
    </row>
    <row r="515" spans="2:11" x14ac:dyDescent="0.25">
      <c r="B515" s="4">
        <v>45862</v>
      </c>
      <c r="C515" t="s">
        <v>71</v>
      </c>
      <c r="E515" t="s">
        <v>26</v>
      </c>
      <c r="F515">
        <v>49643.74</v>
      </c>
      <c r="G515" t="s">
        <v>91</v>
      </c>
      <c r="H515">
        <f t="shared" si="30"/>
        <v>1.5811219999999988</v>
      </c>
      <c r="I515">
        <v>41</v>
      </c>
      <c r="J515">
        <f t="shared" si="28"/>
        <v>64.826001999999946</v>
      </c>
      <c r="K515">
        <f t="shared" si="29"/>
        <v>64.826001999999946</v>
      </c>
    </row>
    <row r="516" spans="2:11" x14ac:dyDescent="0.25">
      <c r="B516" s="4">
        <v>45862</v>
      </c>
      <c r="C516" t="s">
        <v>71</v>
      </c>
      <c r="E516" t="s">
        <v>65</v>
      </c>
      <c r="F516">
        <v>39048.51</v>
      </c>
      <c r="G516" t="s">
        <v>91</v>
      </c>
      <c r="H516">
        <f t="shared" si="30"/>
        <v>-1.597446999999999</v>
      </c>
      <c r="I516">
        <v>41</v>
      </c>
      <c r="J516">
        <f t="shared" si="28"/>
        <v>-65.495326999999961</v>
      </c>
      <c r="K516">
        <f t="shared" si="29"/>
        <v>0</v>
      </c>
    </row>
    <row r="517" spans="2:11" x14ac:dyDescent="0.25">
      <c r="B517" s="4">
        <v>45862</v>
      </c>
      <c r="C517" t="s">
        <v>71</v>
      </c>
      <c r="E517" t="s">
        <v>27</v>
      </c>
      <c r="F517">
        <v>37474.83</v>
      </c>
      <c r="G517" t="s">
        <v>91</v>
      </c>
      <c r="H517">
        <f t="shared" si="30"/>
        <v>-2.0695510000000006</v>
      </c>
      <c r="I517">
        <v>41</v>
      </c>
      <c r="J517">
        <f t="shared" si="28"/>
        <v>-84.851591000000028</v>
      </c>
      <c r="K517">
        <f t="shared" si="29"/>
        <v>0</v>
      </c>
    </row>
    <row r="518" spans="2:11" x14ac:dyDescent="0.25">
      <c r="B518" s="4">
        <v>45862</v>
      </c>
      <c r="C518" t="s">
        <v>71</v>
      </c>
      <c r="E518" t="s">
        <v>28</v>
      </c>
      <c r="F518">
        <v>66317.87</v>
      </c>
      <c r="G518" t="s">
        <v>91</v>
      </c>
      <c r="H518">
        <f t="shared" si="30"/>
        <v>6.5833609999999982</v>
      </c>
      <c r="I518">
        <v>41</v>
      </c>
      <c r="J518">
        <f t="shared" si="28"/>
        <v>269.91780099999994</v>
      </c>
      <c r="K518">
        <f t="shared" si="29"/>
        <v>269.91780099999994</v>
      </c>
    </row>
    <row r="519" spans="2:11" x14ac:dyDescent="0.25">
      <c r="B519" s="4">
        <v>45862</v>
      </c>
      <c r="C519" t="s">
        <v>71</v>
      </c>
      <c r="D519" t="s">
        <v>67</v>
      </c>
      <c r="E519">
        <v>1</v>
      </c>
      <c r="F519">
        <v>40671.839999999997</v>
      </c>
      <c r="G519" t="s">
        <v>91</v>
      </c>
      <c r="H519">
        <f t="shared" si="30"/>
        <v>-1.1104480000000017</v>
      </c>
      <c r="I519">
        <v>1</v>
      </c>
      <c r="J519">
        <f t="shared" si="28"/>
        <v>-1.1104480000000017</v>
      </c>
      <c r="K519">
        <f t="shared" si="29"/>
        <v>0</v>
      </c>
    </row>
    <row r="520" spans="2:11" x14ac:dyDescent="0.25">
      <c r="B520" s="4">
        <v>45862</v>
      </c>
      <c r="C520" t="s">
        <v>71</v>
      </c>
      <c r="D520" t="s">
        <v>67</v>
      </c>
      <c r="E520">
        <v>2</v>
      </c>
      <c r="F520">
        <v>31845.03</v>
      </c>
      <c r="G520" t="s">
        <v>91</v>
      </c>
      <c r="H520">
        <f t="shared" si="30"/>
        <v>-3.7584910000000011</v>
      </c>
      <c r="I520">
        <v>1</v>
      </c>
      <c r="J520">
        <f t="shared" si="28"/>
        <v>-3.7584910000000011</v>
      </c>
      <c r="K520">
        <f t="shared" si="29"/>
        <v>0</v>
      </c>
    </row>
    <row r="521" spans="2:11" x14ac:dyDescent="0.25">
      <c r="B521" s="4">
        <v>45862</v>
      </c>
      <c r="C521" t="s">
        <v>71</v>
      </c>
      <c r="D521" t="s">
        <v>67</v>
      </c>
      <c r="E521">
        <v>3</v>
      </c>
      <c r="F521">
        <v>57758.77</v>
      </c>
      <c r="G521" t="s">
        <v>91</v>
      </c>
      <c r="H521">
        <f t="shared" si="30"/>
        <v>4.0156309999999973</v>
      </c>
      <c r="I521">
        <v>1</v>
      </c>
      <c r="J521">
        <f t="shared" si="28"/>
        <v>4.0156309999999973</v>
      </c>
      <c r="K521">
        <f t="shared" si="29"/>
        <v>4.0156309999999973</v>
      </c>
    </row>
    <row r="522" spans="2:11" x14ac:dyDescent="0.25">
      <c r="B522" s="4">
        <v>45862</v>
      </c>
      <c r="C522" t="s">
        <v>72</v>
      </c>
      <c r="E522" t="s">
        <v>13</v>
      </c>
      <c r="F522">
        <v>142161.73000000001</v>
      </c>
      <c r="G522" t="s">
        <v>91</v>
      </c>
      <c r="H522">
        <f t="shared" si="30"/>
        <v>29.336519000000003</v>
      </c>
      <c r="I522">
        <v>41</v>
      </c>
      <c r="J522">
        <f t="shared" si="28"/>
        <v>1202.7972790000001</v>
      </c>
      <c r="K522">
        <f t="shared" si="29"/>
        <v>1202.7972790000001</v>
      </c>
    </row>
    <row r="523" spans="2:11" x14ac:dyDescent="0.25">
      <c r="B523" s="4">
        <v>45862</v>
      </c>
      <c r="C523" t="s">
        <v>72</v>
      </c>
      <c r="E523" t="s">
        <v>14</v>
      </c>
      <c r="F523">
        <v>73747.55</v>
      </c>
      <c r="G523" t="s">
        <v>91</v>
      </c>
      <c r="H523">
        <f t="shared" si="30"/>
        <v>8.8122649999999982</v>
      </c>
      <c r="I523">
        <v>41</v>
      </c>
      <c r="J523">
        <f t="shared" si="28"/>
        <v>361.30286499999994</v>
      </c>
      <c r="K523">
        <f t="shared" si="29"/>
        <v>361.30286499999994</v>
      </c>
    </row>
    <row r="524" spans="2:11" x14ac:dyDescent="0.25">
      <c r="B524" s="4">
        <v>45862</v>
      </c>
      <c r="C524" t="s">
        <v>72</v>
      </c>
      <c r="E524" t="s">
        <v>15</v>
      </c>
      <c r="F524">
        <v>180650.66</v>
      </c>
      <c r="G524" t="s">
        <v>91</v>
      </c>
      <c r="H524">
        <f t="shared" si="30"/>
        <v>40.883198</v>
      </c>
      <c r="I524">
        <v>41</v>
      </c>
      <c r="J524">
        <f t="shared" si="28"/>
        <v>1676.2111179999999</v>
      </c>
      <c r="K524">
        <f t="shared" si="29"/>
        <v>1676.2111179999999</v>
      </c>
    </row>
    <row r="525" spans="2:11" x14ac:dyDescent="0.25">
      <c r="B525" s="4">
        <v>45862</v>
      </c>
      <c r="C525" t="s">
        <v>72</v>
      </c>
      <c r="E525" t="s">
        <v>61</v>
      </c>
      <c r="F525">
        <v>149924</v>
      </c>
      <c r="G525" t="s">
        <v>91</v>
      </c>
      <c r="H525">
        <f t="shared" si="30"/>
        <v>31.665199999999999</v>
      </c>
      <c r="I525">
        <v>41</v>
      </c>
      <c r="J525">
        <f t="shared" si="28"/>
        <v>1298.2731999999999</v>
      </c>
      <c r="K525">
        <f t="shared" si="29"/>
        <v>1298.2731999999999</v>
      </c>
    </row>
    <row r="526" spans="2:11" x14ac:dyDescent="0.25">
      <c r="B526" s="4">
        <v>45862</v>
      </c>
      <c r="C526" t="s">
        <v>72</v>
      </c>
      <c r="E526" t="s">
        <v>16</v>
      </c>
      <c r="F526">
        <v>116224.41</v>
      </c>
      <c r="G526" t="s">
        <v>91</v>
      </c>
      <c r="H526">
        <f t="shared" si="30"/>
        <v>21.555323000000001</v>
      </c>
      <c r="I526">
        <v>41</v>
      </c>
      <c r="J526">
        <f t="shared" si="28"/>
        <v>883.7682430000001</v>
      </c>
      <c r="K526">
        <f t="shared" si="29"/>
        <v>883.7682430000001</v>
      </c>
    </row>
    <row r="527" spans="2:11" x14ac:dyDescent="0.25">
      <c r="B527" s="4">
        <v>45862</v>
      </c>
      <c r="C527" t="s">
        <v>72</v>
      </c>
      <c r="E527" t="s">
        <v>17</v>
      </c>
      <c r="F527">
        <v>127423.94</v>
      </c>
      <c r="G527" t="s">
        <v>91</v>
      </c>
      <c r="H527">
        <f t="shared" si="30"/>
        <v>24.915182000000001</v>
      </c>
      <c r="I527">
        <v>41</v>
      </c>
      <c r="J527">
        <f t="shared" si="28"/>
        <v>1021.522462</v>
      </c>
      <c r="K527">
        <f t="shared" si="29"/>
        <v>1021.522462</v>
      </c>
    </row>
    <row r="528" spans="2:11" x14ac:dyDescent="0.25">
      <c r="B528" s="4">
        <v>45862</v>
      </c>
      <c r="C528" t="s">
        <v>72</v>
      </c>
      <c r="E528" t="s">
        <v>12</v>
      </c>
      <c r="F528">
        <v>95747.520000000004</v>
      </c>
      <c r="G528" t="s">
        <v>91</v>
      </c>
      <c r="H528">
        <f t="shared" si="30"/>
        <v>15.412256000000001</v>
      </c>
      <c r="I528">
        <v>41</v>
      </c>
      <c r="J528">
        <f t="shared" si="28"/>
        <v>631.90249600000004</v>
      </c>
      <c r="K528">
        <f t="shared" si="29"/>
        <v>631.90249600000004</v>
      </c>
    </row>
    <row r="529" spans="2:11" x14ac:dyDescent="0.25">
      <c r="B529" s="4">
        <v>45862</v>
      </c>
      <c r="C529" t="s">
        <v>72</v>
      </c>
      <c r="E529" t="s">
        <v>62</v>
      </c>
      <c r="F529">
        <v>171022.53</v>
      </c>
      <c r="G529" t="s">
        <v>91</v>
      </c>
      <c r="H529">
        <f t="shared" si="30"/>
        <v>37.994758999999995</v>
      </c>
      <c r="I529">
        <v>41</v>
      </c>
      <c r="J529">
        <f t="shared" si="28"/>
        <v>1557.7851189999999</v>
      </c>
      <c r="K529">
        <f t="shared" si="29"/>
        <v>1557.7851189999999</v>
      </c>
    </row>
    <row r="530" spans="2:11" x14ac:dyDescent="0.25">
      <c r="B530" s="4">
        <v>45862</v>
      </c>
      <c r="C530" t="s">
        <v>72</v>
      </c>
      <c r="E530" t="s">
        <v>18</v>
      </c>
      <c r="F530">
        <v>137938.25</v>
      </c>
      <c r="G530" t="s">
        <v>91</v>
      </c>
      <c r="H530">
        <f t="shared" si="30"/>
        <v>28.069474999999997</v>
      </c>
      <c r="I530">
        <v>41</v>
      </c>
      <c r="J530">
        <f t="shared" si="28"/>
        <v>1150.8484749999998</v>
      </c>
      <c r="K530">
        <f t="shared" si="29"/>
        <v>1150.8484749999998</v>
      </c>
    </row>
    <row r="531" spans="2:11" x14ac:dyDescent="0.25">
      <c r="B531" s="4">
        <v>45862</v>
      </c>
      <c r="C531" t="s">
        <v>72</v>
      </c>
      <c r="E531" t="s">
        <v>19</v>
      </c>
      <c r="F531">
        <v>65022.93</v>
      </c>
      <c r="G531" t="s">
        <v>91</v>
      </c>
      <c r="H531">
        <f t="shared" si="30"/>
        <v>6.1948789999999985</v>
      </c>
      <c r="I531">
        <v>41</v>
      </c>
      <c r="J531">
        <f t="shared" si="28"/>
        <v>253.99003899999994</v>
      </c>
      <c r="K531">
        <f t="shared" si="29"/>
        <v>253.99003899999994</v>
      </c>
    </row>
    <row r="532" spans="2:11" x14ac:dyDescent="0.25">
      <c r="B532" s="4">
        <v>45862</v>
      </c>
      <c r="C532" t="s">
        <v>72</v>
      </c>
      <c r="E532" t="s">
        <v>20</v>
      </c>
      <c r="F532">
        <v>57170.16</v>
      </c>
      <c r="G532" t="s">
        <v>91</v>
      </c>
      <c r="H532">
        <f t="shared" si="30"/>
        <v>3.839048</v>
      </c>
      <c r="I532">
        <v>41</v>
      </c>
      <c r="J532">
        <f t="shared" si="28"/>
        <v>157.40096800000001</v>
      </c>
      <c r="K532">
        <f t="shared" si="29"/>
        <v>157.40096800000001</v>
      </c>
    </row>
    <row r="533" spans="2:11" x14ac:dyDescent="0.25">
      <c r="B533" s="4">
        <v>45862</v>
      </c>
      <c r="C533" t="s">
        <v>72</v>
      </c>
      <c r="E533" t="s">
        <v>63</v>
      </c>
      <c r="F533">
        <v>124642.78</v>
      </c>
      <c r="G533" t="s">
        <v>91</v>
      </c>
      <c r="H533">
        <f t="shared" si="30"/>
        <v>24.080833999999996</v>
      </c>
      <c r="I533">
        <v>41</v>
      </c>
      <c r="J533">
        <f t="shared" si="28"/>
        <v>987.31419399999982</v>
      </c>
      <c r="K533">
        <f t="shared" si="29"/>
        <v>987.31419399999982</v>
      </c>
    </row>
    <row r="534" spans="2:11" x14ac:dyDescent="0.25">
      <c r="B534" s="4">
        <v>45862</v>
      </c>
      <c r="C534" t="s">
        <v>72</v>
      </c>
      <c r="E534" t="s">
        <v>21</v>
      </c>
      <c r="F534">
        <v>129934.89</v>
      </c>
      <c r="G534" t="s">
        <v>91</v>
      </c>
      <c r="H534">
        <f t="shared" si="30"/>
        <v>25.668467</v>
      </c>
      <c r="I534">
        <v>41</v>
      </c>
      <c r="J534">
        <f t="shared" si="28"/>
        <v>1052.4071469999999</v>
      </c>
      <c r="K534">
        <f t="shared" si="29"/>
        <v>1052.4071469999999</v>
      </c>
    </row>
    <row r="535" spans="2:11" x14ac:dyDescent="0.25">
      <c r="B535" s="4">
        <v>45862</v>
      </c>
      <c r="C535" t="s">
        <v>72</v>
      </c>
      <c r="E535" t="s">
        <v>22</v>
      </c>
      <c r="F535">
        <v>100211.07</v>
      </c>
      <c r="G535" t="s">
        <v>91</v>
      </c>
      <c r="H535">
        <f t="shared" si="30"/>
        <v>16.751320999999997</v>
      </c>
      <c r="I535">
        <v>41</v>
      </c>
      <c r="J535">
        <f t="shared" si="28"/>
        <v>686.80416099999991</v>
      </c>
      <c r="K535">
        <f t="shared" si="29"/>
        <v>686.80416099999991</v>
      </c>
    </row>
    <row r="536" spans="2:11" x14ac:dyDescent="0.25">
      <c r="B536" s="4">
        <v>45862</v>
      </c>
      <c r="C536" t="s">
        <v>72</v>
      </c>
      <c r="E536" t="s">
        <v>23</v>
      </c>
      <c r="F536">
        <v>57693.46</v>
      </c>
      <c r="G536" t="s">
        <v>91</v>
      </c>
      <c r="H536">
        <f t="shared" si="30"/>
        <v>3.9960380000000004</v>
      </c>
      <c r="I536">
        <v>41</v>
      </c>
      <c r="J536">
        <f t="shared" si="28"/>
        <v>163.83755800000003</v>
      </c>
      <c r="K536">
        <f t="shared" si="29"/>
        <v>163.83755800000003</v>
      </c>
    </row>
    <row r="537" spans="2:11" x14ac:dyDescent="0.25">
      <c r="B537" s="4">
        <v>45862</v>
      </c>
      <c r="C537" t="s">
        <v>72</v>
      </c>
      <c r="E537" t="s">
        <v>64</v>
      </c>
      <c r="F537">
        <v>84256.62</v>
      </c>
      <c r="G537" t="s">
        <v>91</v>
      </c>
      <c r="H537">
        <f t="shared" si="30"/>
        <v>11.964985999999998</v>
      </c>
      <c r="I537">
        <v>41</v>
      </c>
      <c r="J537">
        <f t="shared" si="28"/>
        <v>490.56442599999991</v>
      </c>
      <c r="K537">
        <f t="shared" si="29"/>
        <v>490.56442599999991</v>
      </c>
    </row>
    <row r="538" spans="2:11" x14ac:dyDescent="0.25">
      <c r="B538" s="4">
        <v>45862</v>
      </c>
      <c r="C538" t="s">
        <v>72</v>
      </c>
      <c r="E538" t="s">
        <v>24</v>
      </c>
      <c r="F538">
        <v>123719.05</v>
      </c>
      <c r="G538" t="s">
        <v>91</v>
      </c>
      <c r="H538">
        <f t="shared" si="30"/>
        <v>23.803714999999997</v>
      </c>
      <c r="I538">
        <v>41</v>
      </c>
      <c r="J538">
        <f t="shared" si="28"/>
        <v>975.95231499999989</v>
      </c>
      <c r="K538">
        <f t="shared" si="29"/>
        <v>975.95231499999989</v>
      </c>
    </row>
    <row r="539" spans="2:11" x14ac:dyDescent="0.25">
      <c r="B539" s="4">
        <v>45862</v>
      </c>
      <c r="C539" t="s">
        <v>72</v>
      </c>
      <c r="E539" t="s">
        <v>25</v>
      </c>
      <c r="F539">
        <v>99904.72</v>
      </c>
      <c r="G539" t="s">
        <v>91</v>
      </c>
      <c r="H539">
        <f t="shared" si="30"/>
        <v>16.659416</v>
      </c>
      <c r="I539">
        <v>41</v>
      </c>
      <c r="J539">
        <f t="shared" si="28"/>
        <v>683.03605600000003</v>
      </c>
      <c r="K539">
        <f t="shared" si="29"/>
        <v>683.03605600000003</v>
      </c>
    </row>
    <row r="540" spans="2:11" x14ac:dyDescent="0.25">
      <c r="B540" s="4">
        <v>45862</v>
      </c>
      <c r="C540" t="s">
        <v>72</v>
      </c>
      <c r="E540" t="s">
        <v>26</v>
      </c>
      <c r="F540">
        <v>90279.09</v>
      </c>
      <c r="G540" t="s">
        <v>91</v>
      </c>
      <c r="H540">
        <f t="shared" si="30"/>
        <v>13.771726999999997</v>
      </c>
      <c r="I540">
        <v>41</v>
      </c>
      <c r="J540">
        <f t="shared" si="28"/>
        <v>564.64080699999988</v>
      </c>
      <c r="K540">
        <f t="shared" si="29"/>
        <v>564.64080699999988</v>
      </c>
    </row>
    <row r="541" spans="2:11" x14ac:dyDescent="0.25">
      <c r="B541" s="4">
        <v>45862</v>
      </c>
      <c r="C541" t="s">
        <v>72</v>
      </c>
      <c r="E541" t="s">
        <v>65</v>
      </c>
      <c r="F541">
        <v>104232.98</v>
      </c>
      <c r="G541" t="s">
        <v>91</v>
      </c>
      <c r="H541">
        <f t="shared" si="30"/>
        <v>17.957893999999996</v>
      </c>
      <c r="I541">
        <v>41</v>
      </c>
      <c r="J541">
        <f t="shared" si="28"/>
        <v>736.27365399999985</v>
      </c>
      <c r="K541">
        <f t="shared" si="29"/>
        <v>736.27365399999985</v>
      </c>
    </row>
    <row r="542" spans="2:11" x14ac:dyDescent="0.25">
      <c r="B542" s="4">
        <v>45862</v>
      </c>
      <c r="C542" t="s">
        <v>72</v>
      </c>
      <c r="E542" t="s">
        <v>27</v>
      </c>
      <c r="F542">
        <v>178172.53</v>
      </c>
      <c r="G542" t="s">
        <v>91</v>
      </c>
      <c r="H542">
        <f t="shared" si="30"/>
        <v>40.139758999999998</v>
      </c>
      <c r="I542">
        <v>41</v>
      </c>
      <c r="J542">
        <f t="shared" si="28"/>
        <v>1645.7301189999998</v>
      </c>
      <c r="K542">
        <f t="shared" si="29"/>
        <v>1645.7301189999998</v>
      </c>
    </row>
    <row r="543" spans="2:11" x14ac:dyDescent="0.25">
      <c r="B543" s="4">
        <v>45862</v>
      </c>
      <c r="C543" t="s">
        <v>72</v>
      </c>
      <c r="E543" t="s">
        <v>28</v>
      </c>
      <c r="F543">
        <v>96641.81</v>
      </c>
      <c r="G543" t="s">
        <v>91</v>
      </c>
      <c r="H543">
        <f t="shared" si="30"/>
        <v>15.680542999999998</v>
      </c>
      <c r="I543">
        <v>41</v>
      </c>
      <c r="J543">
        <f t="shared" si="28"/>
        <v>642.90226299999995</v>
      </c>
      <c r="K543">
        <f t="shared" si="29"/>
        <v>642.90226299999995</v>
      </c>
    </row>
    <row r="544" spans="2:11" x14ac:dyDescent="0.25">
      <c r="B544" s="4">
        <v>45862</v>
      </c>
      <c r="C544" t="s">
        <v>72</v>
      </c>
      <c r="E544" t="s">
        <v>29</v>
      </c>
      <c r="F544">
        <v>76894.34</v>
      </c>
      <c r="G544" t="s">
        <v>91</v>
      </c>
      <c r="H544">
        <f t="shared" si="30"/>
        <v>9.7563019999999963</v>
      </c>
      <c r="I544">
        <v>41</v>
      </c>
      <c r="J544">
        <f t="shared" si="28"/>
        <v>400.00838199999987</v>
      </c>
      <c r="K544">
        <f t="shared" si="29"/>
        <v>400.00838199999987</v>
      </c>
    </row>
    <row r="545" spans="2:11" x14ac:dyDescent="0.25">
      <c r="B545" s="4">
        <v>45862</v>
      </c>
      <c r="C545" t="s">
        <v>72</v>
      </c>
      <c r="E545" t="s">
        <v>66</v>
      </c>
      <c r="F545">
        <v>168010.66</v>
      </c>
      <c r="G545" t="s">
        <v>91</v>
      </c>
      <c r="H545">
        <f t="shared" si="30"/>
        <v>37.091197999999999</v>
      </c>
      <c r="I545">
        <v>41</v>
      </c>
      <c r="J545">
        <f t="shared" si="28"/>
        <v>1520.739118</v>
      </c>
      <c r="K545">
        <f t="shared" si="29"/>
        <v>1520.739118</v>
      </c>
    </row>
    <row r="546" spans="2:11" x14ac:dyDescent="0.25">
      <c r="B546" s="4">
        <v>45862</v>
      </c>
      <c r="C546" t="s">
        <v>72</v>
      </c>
      <c r="D546" t="s">
        <v>67</v>
      </c>
      <c r="E546">
        <v>1</v>
      </c>
      <c r="F546">
        <v>60815.72</v>
      </c>
      <c r="G546" t="s">
        <v>91</v>
      </c>
      <c r="H546">
        <f t="shared" si="30"/>
        <v>4.932716000000001</v>
      </c>
      <c r="I546">
        <v>1</v>
      </c>
      <c r="J546">
        <f t="shared" si="28"/>
        <v>4.932716000000001</v>
      </c>
      <c r="K546">
        <f t="shared" si="29"/>
        <v>4.932716000000001</v>
      </c>
    </row>
    <row r="547" spans="2:11" x14ac:dyDescent="0.25">
      <c r="B547" s="4">
        <v>45862</v>
      </c>
      <c r="C547" t="s">
        <v>72</v>
      </c>
      <c r="D547" t="s">
        <v>67</v>
      </c>
      <c r="E547">
        <v>2</v>
      </c>
      <c r="F547">
        <v>49677.45</v>
      </c>
      <c r="G547" t="s">
        <v>91</v>
      </c>
      <c r="H547">
        <f t="shared" si="30"/>
        <v>1.5912349999999993</v>
      </c>
      <c r="I547">
        <v>1</v>
      </c>
      <c r="J547">
        <f t="shared" si="28"/>
        <v>1.5912349999999993</v>
      </c>
      <c r="K547">
        <f t="shared" si="29"/>
        <v>1.5912349999999993</v>
      </c>
    </row>
    <row r="548" spans="2:11" x14ac:dyDescent="0.25">
      <c r="B548" s="4">
        <v>45862</v>
      </c>
      <c r="C548" t="s">
        <v>72</v>
      </c>
      <c r="D548" t="s">
        <v>67</v>
      </c>
      <c r="E548">
        <v>3</v>
      </c>
      <c r="F548">
        <v>48826.36</v>
      </c>
      <c r="G548" t="s">
        <v>91</v>
      </c>
      <c r="H548">
        <f t="shared" si="30"/>
        <v>1.3359079999999999</v>
      </c>
      <c r="I548">
        <v>1</v>
      </c>
      <c r="J548">
        <f t="shared" si="28"/>
        <v>1.3359079999999999</v>
      </c>
      <c r="K548">
        <f t="shared" si="29"/>
        <v>1.3359079999999999</v>
      </c>
    </row>
    <row r="549" spans="2:11" x14ac:dyDescent="0.25">
      <c r="B549" s="1">
        <v>45873</v>
      </c>
      <c r="C549" s="2" t="s">
        <v>324</v>
      </c>
      <c r="E549">
        <v>1</v>
      </c>
      <c r="F549">
        <v>69204.539999999994</v>
      </c>
      <c r="G549" t="s">
        <v>91</v>
      </c>
      <c r="H549">
        <f t="shared" si="30"/>
        <v>7.4493619999999954</v>
      </c>
      <c r="I549">
        <v>41</v>
      </c>
      <c r="J549">
        <f t="shared" si="28"/>
        <v>305.42384199999981</v>
      </c>
      <c r="K549">
        <f t="shared" si="29"/>
        <v>305.42384199999981</v>
      </c>
    </row>
    <row r="550" spans="2:11" x14ac:dyDescent="0.25">
      <c r="B550" s="1">
        <v>45873</v>
      </c>
      <c r="C550" s="2" t="s">
        <v>324</v>
      </c>
      <c r="E550">
        <v>2</v>
      </c>
      <c r="F550">
        <v>73031.27</v>
      </c>
      <c r="G550" t="s">
        <v>91</v>
      </c>
      <c r="H550">
        <f t="shared" si="30"/>
        <v>8.5973810000000004</v>
      </c>
      <c r="I550">
        <v>41</v>
      </c>
      <c r="J550">
        <f t="shared" si="28"/>
        <v>352.49262100000004</v>
      </c>
      <c r="K550">
        <f t="shared" si="29"/>
        <v>352.49262100000004</v>
      </c>
    </row>
    <row r="551" spans="2:11" x14ac:dyDescent="0.25">
      <c r="B551" s="1">
        <v>45873</v>
      </c>
      <c r="C551" s="2" t="s">
        <v>324</v>
      </c>
      <c r="E551">
        <v>3</v>
      </c>
      <c r="F551">
        <v>75022.09</v>
      </c>
      <c r="G551" t="s">
        <v>91</v>
      </c>
      <c r="H551">
        <f t="shared" si="30"/>
        <v>9.1946269999999988</v>
      </c>
      <c r="I551">
        <v>41</v>
      </c>
      <c r="J551">
        <f t="shared" si="28"/>
        <v>376.97970699999996</v>
      </c>
      <c r="K551">
        <f t="shared" si="29"/>
        <v>376.97970699999996</v>
      </c>
    </row>
    <row r="552" spans="2:11" x14ac:dyDescent="0.25">
      <c r="B552" s="1">
        <v>45873</v>
      </c>
      <c r="C552" s="2" t="s">
        <v>325</v>
      </c>
      <c r="D552" t="s">
        <v>67</v>
      </c>
      <c r="E552">
        <v>1</v>
      </c>
      <c r="F552">
        <v>66787.31</v>
      </c>
      <c r="G552" t="s">
        <v>91</v>
      </c>
      <c r="H552">
        <f t="shared" si="30"/>
        <v>6.7241929999999979</v>
      </c>
      <c r="I552">
        <v>1</v>
      </c>
      <c r="J552">
        <f t="shared" si="28"/>
        <v>6.7241929999999979</v>
      </c>
      <c r="K552">
        <f t="shared" si="29"/>
        <v>6.7241929999999979</v>
      </c>
    </row>
    <row r="553" spans="2:11" x14ac:dyDescent="0.25">
      <c r="B553" s="1">
        <v>45873</v>
      </c>
      <c r="C553" s="2" t="s">
        <v>325</v>
      </c>
      <c r="D553" t="s">
        <v>67</v>
      </c>
      <c r="E553">
        <v>2</v>
      </c>
      <c r="F553">
        <v>133071.78</v>
      </c>
      <c r="G553" t="s">
        <v>91</v>
      </c>
      <c r="H553">
        <f t="shared" si="30"/>
        <v>26.609533999999996</v>
      </c>
      <c r="I553">
        <v>1</v>
      </c>
      <c r="J553">
        <f t="shared" si="28"/>
        <v>26.609533999999996</v>
      </c>
      <c r="K553">
        <f t="shared" si="29"/>
        <v>26.609533999999996</v>
      </c>
    </row>
    <row r="554" spans="2:11" x14ac:dyDescent="0.25">
      <c r="B554" s="1">
        <v>45873</v>
      </c>
      <c r="C554" s="2" t="s">
        <v>325</v>
      </c>
      <c r="D554" t="s">
        <v>67</v>
      </c>
      <c r="E554">
        <v>1</v>
      </c>
      <c r="F554">
        <v>134129.85999999999</v>
      </c>
      <c r="G554" t="s">
        <v>91</v>
      </c>
      <c r="H554">
        <f t="shared" si="30"/>
        <v>26.926957999999992</v>
      </c>
      <c r="I554">
        <v>1</v>
      </c>
      <c r="J554">
        <f t="shared" si="28"/>
        <v>26.926957999999992</v>
      </c>
      <c r="K554">
        <f t="shared" si="29"/>
        <v>26.926957999999992</v>
      </c>
    </row>
    <row r="555" spans="2:11" x14ac:dyDescent="0.25">
      <c r="B555" s="1">
        <v>45876</v>
      </c>
      <c r="C555" t="s">
        <v>70</v>
      </c>
      <c r="E555" t="s">
        <v>13</v>
      </c>
      <c r="F555">
        <v>81343.72</v>
      </c>
      <c r="G555" t="s">
        <v>91</v>
      </c>
      <c r="H555">
        <f t="shared" si="30"/>
        <v>11.091115999999998</v>
      </c>
      <c r="I555">
        <v>41</v>
      </c>
      <c r="J555">
        <f t="shared" si="28"/>
        <v>454.73575599999992</v>
      </c>
      <c r="K555">
        <f t="shared" si="29"/>
        <v>454.73575599999992</v>
      </c>
    </row>
    <row r="556" spans="2:11" x14ac:dyDescent="0.25">
      <c r="B556" s="1">
        <v>45876</v>
      </c>
      <c r="C556" t="s">
        <v>70</v>
      </c>
      <c r="E556" t="s">
        <v>14</v>
      </c>
      <c r="F556">
        <v>64267.85</v>
      </c>
      <c r="G556" t="s">
        <v>91</v>
      </c>
      <c r="H556">
        <f t="shared" si="30"/>
        <v>5.9683549999999972</v>
      </c>
      <c r="I556">
        <v>41</v>
      </c>
      <c r="J556">
        <f t="shared" si="28"/>
        <v>244.70255499999988</v>
      </c>
      <c r="K556">
        <f t="shared" si="29"/>
        <v>244.70255499999988</v>
      </c>
    </row>
    <row r="557" spans="2:11" x14ac:dyDescent="0.25">
      <c r="B557" s="1">
        <v>45876</v>
      </c>
      <c r="C557" t="s">
        <v>70</v>
      </c>
      <c r="E557" t="s">
        <v>15</v>
      </c>
      <c r="F557">
        <v>53412.95</v>
      </c>
      <c r="G557" t="s">
        <v>91</v>
      </c>
      <c r="H557">
        <f t="shared" si="30"/>
        <v>2.711884999999997</v>
      </c>
      <c r="I557">
        <v>41</v>
      </c>
      <c r="J557">
        <f t="shared" si="28"/>
        <v>111.18728499999987</v>
      </c>
      <c r="K557">
        <f t="shared" si="29"/>
        <v>111.18728499999987</v>
      </c>
    </row>
    <row r="558" spans="2:11" x14ac:dyDescent="0.25">
      <c r="B558" s="1">
        <v>45876</v>
      </c>
      <c r="C558" t="s">
        <v>70</v>
      </c>
      <c r="E558" t="s">
        <v>61</v>
      </c>
      <c r="F558">
        <v>188335.11</v>
      </c>
      <c r="G558" t="s">
        <v>91</v>
      </c>
      <c r="H558">
        <f t="shared" si="30"/>
        <v>43.188532999999993</v>
      </c>
      <c r="I558">
        <v>41</v>
      </c>
      <c r="J558">
        <f t="shared" si="28"/>
        <v>1770.7298529999996</v>
      </c>
      <c r="K558">
        <f t="shared" si="29"/>
        <v>1770.7298529999996</v>
      </c>
    </row>
    <row r="559" spans="2:11" x14ac:dyDescent="0.25">
      <c r="B559" s="1">
        <v>45876</v>
      </c>
      <c r="C559" t="s">
        <v>70</v>
      </c>
      <c r="E559" t="s">
        <v>16</v>
      </c>
      <c r="F559">
        <v>63685.54</v>
      </c>
      <c r="G559" t="s">
        <v>91</v>
      </c>
      <c r="H559">
        <f t="shared" si="30"/>
        <v>5.7936619999999994</v>
      </c>
      <c r="I559">
        <v>41</v>
      </c>
      <c r="J559">
        <f t="shared" ref="J559:J622" si="31">H559*I559</f>
        <v>237.54014199999997</v>
      </c>
      <c r="K559">
        <f t="shared" ref="K559:K622" si="32">MAX(J559,0)</f>
        <v>237.54014199999997</v>
      </c>
    </row>
    <row r="560" spans="2:11" x14ac:dyDescent="0.25">
      <c r="B560" s="1">
        <v>45876</v>
      </c>
      <c r="C560" t="s">
        <v>70</v>
      </c>
      <c r="E560" t="s">
        <v>17</v>
      </c>
      <c r="F560">
        <v>42493.85</v>
      </c>
      <c r="G560" t="s">
        <v>91</v>
      </c>
      <c r="H560">
        <f t="shared" ref="H560:H623" si="33">(0.0003*F560)-13.312</f>
        <v>-0.5638450000000006</v>
      </c>
      <c r="I560">
        <v>41</v>
      </c>
      <c r="J560">
        <f t="shared" si="31"/>
        <v>-23.117645000000024</v>
      </c>
      <c r="K560">
        <f t="shared" si="32"/>
        <v>0</v>
      </c>
    </row>
    <row r="561" spans="2:11" x14ac:dyDescent="0.25">
      <c r="B561" s="1">
        <v>45876</v>
      </c>
      <c r="C561" t="s">
        <v>70</v>
      </c>
      <c r="E561" t="s">
        <v>12</v>
      </c>
      <c r="F561">
        <v>120167.96</v>
      </c>
      <c r="G561" t="s">
        <v>91</v>
      </c>
      <c r="H561">
        <f t="shared" si="33"/>
        <v>22.738388</v>
      </c>
      <c r="I561">
        <v>41</v>
      </c>
      <c r="J561">
        <f t="shared" si="31"/>
        <v>932.27390800000001</v>
      </c>
      <c r="K561">
        <f t="shared" si="32"/>
        <v>932.27390800000001</v>
      </c>
    </row>
    <row r="562" spans="2:11" x14ac:dyDescent="0.25">
      <c r="B562" s="1">
        <v>45876</v>
      </c>
      <c r="C562" t="s">
        <v>70</v>
      </c>
      <c r="E562" t="s">
        <v>62</v>
      </c>
      <c r="G562" t="s">
        <v>91</v>
      </c>
      <c r="H562">
        <f t="shared" si="33"/>
        <v>-13.311999999999999</v>
      </c>
      <c r="I562">
        <v>41</v>
      </c>
      <c r="J562">
        <f t="shared" si="31"/>
        <v>-545.79200000000003</v>
      </c>
      <c r="K562">
        <f t="shared" si="32"/>
        <v>0</v>
      </c>
    </row>
    <row r="563" spans="2:11" x14ac:dyDescent="0.25">
      <c r="B563" s="1">
        <v>45876</v>
      </c>
      <c r="C563" t="s">
        <v>70</v>
      </c>
      <c r="E563" t="s">
        <v>18</v>
      </c>
      <c r="F563">
        <v>128426.05</v>
      </c>
      <c r="G563" t="s">
        <v>91</v>
      </c>
      <c r="H563">
        <f t="shared" si="33"/>
        <v>25.215814999999999</v>
      </c>
      <c r="I563">
        <v>41</v>
      </c>
      <c r="J563">
        <f t="shared" si="31"/>
        <v>1033.8484149999999</v>
      </c>
      <c r="K563">
        <f t="shared" si="32"/>
        <v>1033.8484149999999</v>
      </c>
    </row>
    <row r="564" spans="2:11" x14ac:dyDescent="0.25">
      <c r="B564" s="1">
        <v>45876</v>
      </c>
      <c r="C564" t="s">
        <v>70</v>
      </c>
      <c r="E564" t="s">
        <v>19</v>
      </c>
      <c r="F564">
        <v>136721.09</v>
      </c>
      <c r="G564" t="s">
        <v>91</v>
      </c>
      <c r="H564">
        <f t="shared" si="33"/>
        <v>27.704326999999999</v>
      </c>
      <c r="I564">
        <v>41</v>
      </c>
      <c r="J564">
        <f t="shared" si="31"/>
        <v>1135.8774069999999</v>
      </c>
      <c r="K564">
        <f t="shared" si="32"/>
        <v>1135.8774069999999</v>
      </c>
    </row>
    <row r="565" spans="2:11" x14ac:dyDescent="0.25">
      <c r="B565" s="1">
        <v>45876</v>
      </c>
      <c r="C565" t="s">
        <v>70</v>
      </c>
      <c r="E565" t="s">
        <v>20</v>
      </c>
      <c r="F565">
        <v>63440.959999999999</v>
      </c>
      <c r="G565" t="s">
        <v>91</v>
      </c>
      <c r="H565">
        <f t="shared" si="33"/>
        <v>5.7202879999999983</v>
      </c>
      <c r="I565">
        <v>41</v>
      </c>
      <c r="J565">
        <f t="shared" si="31"/>
        <v>234.53180799999993</v>
      </c>
      <c r="K565">
        <f t="shared" si="32"/>
        <v>234.53180799999993</v>
      </c>
    </row>
    <row r="566" spans="2:11" x14ac:dyDescent="0.25">
      <c r="B566" s="1">
        <v>45876</v>
      </c>
      <c r="C566" t="s">
        <v>70</v>
      </c>
      <c r="E566" t="s">
        <v>63</v>
      </c>
      <c r="F566">
        <v>36760.300000000003</v>
      </c>
      <c r="G566" t="s">
        <v>91</v>
      </c>
      <c r="H566">
        <f t="shared" si="33"/>
        <v>-2.2839099999999988</v>
      </c>
      <c r="I566">
        <v>41</v>
      </c>
      <c r="J566">
        <f t="shared" si="31"/>
        <v>-93.640309999999943</v>
      </c>
      <c r="K566">
        <f t="shared" si="32"/>
        <v>0</v>
      </c>
    </row>
    <row r="567" spans="2:11" x14ac:dyDescent="0.25">
      <c r="B567" s="1">
        <v>45876</v>
      </c>
      <c r="C567" t="s">
        <v>70</v>
      </c>
      <c r="E567" t="s">
        <v>21</v>
      </c>
      <c r="F567">
        <v>79610.77</v>
      </c>
      <c r="G567" t="s">
        <v>91</v>
      </c>
      <c r="H567">
        <f t="shared" si="33"/>
        <v>10.571230999999999</v>
      </c>
      <c r="I567">
        <v>41</v>
      </c>
      <c r="J567">
        <f t="shared" si="31"/>
        <v>433.42047099999996</v>
      </c>
      <c r="K567">
        <f t="shared" si="32"/>
        <v>433.42047099999996</v>
      </c>
    </row>
    <row r="568" spans="2:11" x14ac:dyDescent="0.25">
      <c r="B568" s="1">
        <v>45876</v>
      </c>
      <c r="C568" t="s">
        <v>70</v>
      </c>
      <c r="E568" t="s">
        <v>22</v>
      </c>
      <c r="F568">
        <v>53117.83</v>
      </c>
      <c r="G568" t="s">
        <v>91</v>
      </c>
      <c r="H568">
        <f t="shared" si="33"/>
        <v>2.6233489999999993</v>
      </c>
      <c r="I568">
        <v>41</v>
      </c>
      <c r="J568">
        <f t="shared" si="31"/>
        <v>107.55730899999998</v>
      </c>
      <c r="K568">
        <f t="shared" si="32"/>
        <v>107.55730899999998</v>
      </c>
    </row>
    <row r="569" spans="2:11" x14ac:dyDescent="0.25">
      <c r="B569" s="1">
        <v>45876</v>
      </c>
      <c r="C569" t="s">
        <v>70</v>
      </c>
      <c r="E569" t="s">
        <v>23</v>
      </c>
      <c r="F569">
        <v>56028.91</v>
      </c>
      <c r="G569" t="s">
        <v>91</v>
      </c>
      <c r="H569">
        <f t="shared" si="33"/>
        <v>3.4966729999999995</v>
      </c>
      <c r="I569">
        <v>41</v>
      </c>
      <c r="J569">
        <f t="shared" si="31"/>
        <v>143.36359299999998</v>
      </c>
      <c r="K569">
        <f t="shared" si="32"/>
        <v>143.36359299999998</v>
      </c>
    </row>
    <row r="570" spans="2:11" x14ac:dyDescent="0.25">
      <c r="B570" s="1">
        <v>45876</v>
      </c>
      <c r="C570" t="s">
        <v>70</v>
      </c>
      <c r="E570" t="s">
        <v>64</v>
      </c>
      <c r="F570">
        <v>90252.2</v>
      </c>
      <c r="G570" t="s">
        <v>91</v>
      </c>
      <c r="H570">
        <f t="shared" si="33"/>
        <v>13.763659999999996</v>
      </c>
      <c r="I570">
        <v>41</v>
      </c>
      <c r="J570">
        <f t="shared" si="31"/>
        <v>564.31005999999979</v>
      </c>
      <c r="K570">
        <f t="shared" si="32"/>
        <v>564.31005999999979</v>
      </c>
    </row>
    <row r="571" spans="2:11" x14ac:dyDescent="0.25">
      <c r="B571" s="1">
        <v>45876</v>
      </c>
      <c r="C571" t="s">
        <v>70</v>
      </c>
      <c r="D571" t="s">
        <v>67</v>
      </c>
      <c r="E571">
        <v>1</v>
      </c>
      <c r="F571">
        <v>32201.24</v>
      </c>
      <c r="G571" t="s">
        <v>91</v>
      </c>
      <c r="H571">
        <f t="shared" si="33"/>
        <v>-3.6516280000000005</v>
      </c>
      <c r="I571">
        <v>1</v>
      </c>
      <c r="J571">
        <f t="shared" si="31"/>
        <v>-3.6516280000000005</v>
      </c>
      <c r="K571">
        <f t="shared" si="32"/>
        <v>0</v>
      </c>
    </row>
    <row r="572" spans="2:11" x14ac:dyDescent="0.25">
      <c r="B572" s="1">
        <v>45876</v>
      </c>
      <c r="C572" t="s">
        <v>70</v>
      </c>
      <c r="D572" t="s">
        <v>67</v>
      </c>
      <c r="E572">
        <v>2</v>
      </c>
      <c r="F572">
        <v>38347.199999999997</v>
      </c>
      <c r="G572" t="s">
        <v>91</v>
      </c>
      <c r="H572">
        <f t="shared" si="33"/>
        <v>-1.8078400000000006</v>
      </c>
      <c r="I572">
        <v>1</v>
      </c>
      <c r="J572">
        <f t="shared" si="31"/>
        <v>-1.8078400000000006</v>
      </c>
      <c r="K572">
        <f t="shared" si="32"/>
        <v>0</v>
      </c>
    </row>
    <row r="573" spans="2:11" x14ac:dyDescent="0.25">
      <c r="B573" s="1">
        <v>45876</v>
      </c>
      <c r="C573" t="s">
        <v>70</v>
      </c>
      <c r="D573" t="s">
        <v>67</v>
      </c>
      <c r="E573">
        <v>3</v>
      </c>
      <c r="F573">
        <v>39419.26</v>
      </c>
      <c r="G573" t="s">
        <v>91</v>
      </c>
      <c r="H573">
        <f t="shared" si="33"/>
        <v>-1.4862219999999997</v>
      </c>
      <c r="I573">
        <v>1</v>
      </c>
      <c r="J573">
        <f t="shared" si="31"/>
        <v>-1.4862219999999997</v>
      </c>
      <c r="K573">
        <f t="shared" si="32"/>
        <v>0</v>
      </c>
    </row>
    <row r="574" spans="2:11" x14ac:dyDescent="0.25">
      <c r="B574" s="1">
        <v>45876</v>
      </c>
      <c r="C574" t="s">
        <v>71</v>
      </c>
      <c r="E574" t="s">
        <v>13</v>
      </c>
      <c r="F574">
        <v>38652.42</v>
      </c>
      <c r="G574" t="s">
        <v>91</v>
      </c>
      <c r="H574">
        <f t="shared" si="33"/>
        <v>-1.7162740000000003</v>
      </c>
      <c r="I574">
        <v>41</v>
      </c>
      <c r="J574">
        <f t="shared" si="31"/>
        <v>-70.36723400000001</v>
      </c>
      <c r="K574">
        <f t="shared" si="32"/>
        <v>0</v>
      </c>
    </row>
    <row r="575" spans="2:11" x14ac:dyDescent="0.25">
      <c r="B575" s="1">
        <v>45876</v>
      </c>
      <c r="C575" t="s">
        <v>71</v>
      </c>
      <c r="E575" t="s">
        <v>14</v>
      </c>
      <c r="F575">
        <v>37407.57</v>
      </c>
      <c r="G575" t="s">
        <v>91</v>
      </c>
      <c r="H575">
        <f t="shared" si="33"/>
        <v>-2.0897290000000002</v>
      </c>
      <c r="I575">
        <v>41</v>
      </c>
      <c r="J575">
        <f t="shared" si="31"/>
        <v>-85.678889000000012</v>
      </c>
      <c r="K575">
        <f t="shared" si="32"/>
        <v>0</v>
      </c>
    </row>
    <row r="576" spans="2:11" x14ac:dyDescent="0.25">
      <c r="B576" s="1">
        <v>45876</v>
      </c>
      <c r="C576" t="s">
        <v>71</v>
      </c>
      <c r="E576" t="s">
        <v>15</v>
      </c>
      <c r="F576">
        <v>45320.639999999999</v>
      </c>
      <c r="G576" t="s">
        <v>91</v>
      </c>
      <c r="H576">
        <f t="shared" si="33"/>
        <v>0.28419199999999911</v>
      </c>
      <c r="I576">
        <v>41</v>
      </c>
      <c r="J576">
        <f t="shared" si="31"/>
        <v>11.651871999999964</v>
      </c>
      <c r="K576">
        <f t="shared" si="32"/>
        <v>11.651871999999964</v>
      </c>
    </row>
    <row r="577" spans="2:11" x14ac:dyDescent="0.25">
      <c r="B577" s="1">
        <v>45876</v>
      </c>
      <c r="C577" t="s">
        <v>71</v>
      </c>
      <c r="E577" t="s">
        <v>61</v>
      </c>
      <c r="F577">
        <v>41499.199999999997</v>
      </c>
      <c r="G577" t="s">
        <v>91</v>
      </c>
      <c r="H577">
        <f t="shared" si="33"/>
        <v>-0.86224000000000167</v>
      </c>
      <c r="I577">
        <v>41</v>
      </c>
      <c r="J577">
        <f t="shared" si="31"/>
        <v>-35.351840000000067</v>
      </c>
      <c r="K577">
        <f t="shared" si="32"/>
        <v>0</v>
      </c>
    </row>
    <row r="578" spans="2:11" x14ac:dyDescent="0.25">
      <c r="B578" s="1">
        <v>45876</v>
      </c>
      <c r="C578" t="s">
        <v>71</v>
      </c>
      <c r="E578" t="s">
        <v>16</v>
      </c>
      <c r="F578">
        <v>42974.93</v>
      </c>
      <c r="G578" t="s">
        <v>91</v>
      </c>
      <c r="H578">
        <f t="shared" si="33"/>
        <v>-0.41952099999999959</v>
      </c>
      <c r="I578">
        <v>41</v>
      </c>
      <c r="J578">
        <f t="shared" si="31"/>
        <v>-17.200360999999983</v>
      </c>
      <c r="K578">
        <f t="shared" si="32"/>
        <v>0</v>
      </c>
    </row>
    <row r="579" spans="2:11" x14ac:dyDescent="0.25">
      <c r="B579" s="1">
        <v>45876</v>
      </c>
      <c r="C579" t="s">
        <v>71</v>
      </c>
      <c r="E579" t="s">
        <v>17</v>
      </c>
      <c r="F579">
        <v>51235.6</v>
      </c>
      <c r="G579" t="s">
        <v>91</v>
      </c>
      <c r="H579">
        <f t="shared" si="33"/>
        <v>2.058679999999999</v>
      </c>
      <c r="I579">
        <v>41</v>
      </c>
      <c r="J579">
        <f t="shared" si="31"/>
        <v>84.405879999999954</v>
      </c>
      <c r="K579">
        <f t="shared" si="32"/>
        <v>84.405879999999954</v>
      </c>
    </row>
    <row r="580" spans="2:11" x14ac:dyDescent="0.25">
      <c r="B580" s="1">
        <v>45876</v>
      </c>
      <c r="C580" t="s">
        <v>71</v>
      </c>
      <c r="E580" t="s">
        <v>12</v>
      </c>
      <c r="F580">
        <v>40724.51</v>
      </c>
      <c r="G580" t="s">
        <v>91</v>
      </c>
      <c r="H580">
        <f t="shared" si="33"/>
        <v>-1.0946470000000001</v>
      </c>
      <c r="I580">
        <v>41</v>
      </c>
      <c r="J580">
        <f t="shared" si="31"/>
        <v>-44.880527000000008</v>
      </c>
      <c r="K580">
        <f t="shared" si="32"/>
        <v>0</v>
      </c>
    </row>
    <row r="581" spans="2:11" x14ac:dyDescent="0.25">
      <c r="B581" s="1">
        <v>45876</v>
      </c>
      <c r="C581" t="s">
        <v>71</v>
      </c>
      <c r="E581" t="s">
        <v>62</v>
      </c>
      <c r="F581">
        <v>42992.54</v>
      </c>
      <c r="G581" t="s">
        <v>91</v>
      </c>
      <c r="H581">
        <f t="shared" si="33"/>
        <v>-0.41423800000000099</v>
      </c>
      <c r="I581">
        <v>41</v>
      </c>
      <c r="J581">
        <f t="shared" si="31"/>
        <v>-16.983758000000041</v>
      </c>
      <c r="K581">
        <f t="shared" si="32"/>
        <v>0</v>
      </c>
    </row>
    <row r="582" spans="2:11" x14ac:dyDescent="0.25">
      <c r="B582" s="1">
        <v>45876</v>
      </c>
      <c r="C582" t="s">
        <v>71</v>
      </c>
      <c r="E582" t="s">
        <v>18</v>
      </c>
      <c r="F582">
        <v>58974.8</v>
      </c>
      <c r="G582" t="s">
        <v>91</v>
      </c>
      <c r="H582">
        <f t="shared" si="33"/>
        <v>4.3804399999999983</v>
      </c>
      <c r="I582">
        <v>41</v>
      </c>
      <c r="J582">
        <f t="shared" si="31"/>
        <v>179.59803999999994</v>
      </c>
      <c r="K582">
        <f t="shared" si="32"/>
        <v>179.59803999999994</v>
      </c>
    </row>
    <row r="583" spans="2:11" x14ac:dyDescent="0.25">
      <c r="B583" s="1">
        <v>45876</v>
      </c>
      <c r="C583" t="s">
        <v>71</v>
      </c>
      <c r="E583" t="s">
        <v>19</v>
      </c>
      <c r="F583">
        <v>47730.17</v>
      </c>
      <c r="G583" t="s">
        <v>91</v>
      </c>
      <c r="H583">
        <f t="shared" si="33"/>
        <v>1.0070509999999988</v>
      </c>
      <c r="I583">
        <v>41</v>
      </c>
      <c r="J583">
        <f t="shared" si="31"/>
        <v>41.289090999999949</v>
      </c>
      <c r="K583">
        <f t="shared" si="32"/>
        <v>41.289090999999949</v>
      </c>
    </row>
    <row r="584" spans="2:11" x14ac:dyDescent="0.25">
      <c r="B584" s="1">
        <v>45876</v>
      </c>
      <c r="C584" t="s">
        <v>71</v>
      </c>
      <c r="E584" t="s">
        <v>20</v>
      </c>
      <c r="F584">
        <v>44020.78</v>
      </c>
      <c r="G584" t="s">
        <v>91</v>
      </c>
      <c r="H584">
        <f t="shared" si="33"/>
        <v>-0.10576600000000091</v>
      </c>
      <c r="I584">
        <v>41</v>
      </c>
      <c r="J584">
        <f t="shared" si="31"/>
        <v>-4.3364060000000375</v>
      </c>
      <c r="K584">
        <f t="shared" si="32"/>
        <v>0</v>
      </c>
    </row>
    <row r="585" spans="2:11" x14ac:dyDescent="0.25">
      <c r="B585" s="1">
        <v>45876</v>
      </c>
      <c r="C585" t="s">
        <v>71</v>
      </c>
      <c r="E585" t="s">
        <v>63</v>
      </c>
      <c r="F585">
        <v>63782.06</v>
      </c>
      <c r="G585" t="s">
        <v>91</v>
      </c>
      <c r="H585">
        <f t="shared" si="33"/>
        <v>5.8226179999999967</v>
      </c>
      <c r="I585">
        <v>41</v>
      </c>
      <c r="J585">
        <f t="shared" si="31"/>
        <v>238.72733799999986</v>
      </c>
      <c r="K585">
        <f t="shared" si="32"/>
        <v>238.72733799999986</v>
      </c>
    </row>
    <row r="586" spans="2:11" x14ac:dyDescent="0.25">
      <c r="B586" s="1">
        <v>45876</v>
      </c>
      <c r="C586" t="s">
        <v>71</v>
      </c>
      <c r="D586" t="s">
        <v>67</v>
      </c>
      <c r="E586">
        <v>1</v>
      </c>
      <c r="F586">
        <v>60108.43</v>
      </c>
      <c r="G586" t="s">
        <v>91</v>
      </c>
      <c r="H586">
        <f t="shared" si="33"/>
        <v>4.7205290000000009</v>
      </c>
      <c r="I586">
        <v>1</v>
      </c>
      <c r="J586">
        <f t="shared" si="31"/>
        <v>4.7205290000000009</v>
      </c>
      <c r="K586">
        <f t="shared" si="32"/>
        <v>4.7205290000000009</v>
      </c>
    </row>
    <row r="587" spans="2:11" x14ac:dyDescent="0.25">
      <c r="B587" s="1">
        <v>45876</v>
      </c>
      <c r="C587" t="s">
        <v>71</v>
      </c>
      <c r="D587" t="s">
        <v>67</v>
      </c>
      <c r="E587">
        <v>2</v>
      </c>
      <c r="F587">
        <v>54682.84</v>
      </c>
      <c r="G587" t="s">
        <v>91</v>
      </c>
      <c r="H587">
        <f t="shared" si="33"/>
        <v>3.0928519999999988</v>
      </c>
      <c r="I587">
        <v>1</v>
      </c>
      <c r="J587">
        <f t="shared" si="31"/>
        <v>3.0928519999999988</v>
      </c>
      <c r="K587">
        <f t="shared" si="32"/>
        <v>3.0928519999999988</v>
      </c>
    </row>
    <row r="588" spans="2:11" x14ac:dyDescent="0.25">
      <c r="B588" s="1">
        <v>45876</v>
      </c>
      <c r="C588" t="s">
        <v>71</v>
      </c>
      <c r="D588" t="s">
        <v>67</v>
      </c>
      <c r="E588">
        <v>3</v>
      </c>
      <c r="F588">
        <v>60220.57</v>
      </c>
      <c r="G588" t="s">
        <v>91</v>
      </c>
      <c r="H588">
        <f t="shared" si="33"/>
        <v>4.7541709999999977</v>
      </c>
      <c r="I588">
        <v>1</v>
      </c>
      <c r="J588">
        <f t="shared" si="31"/>
        <v>4.7541709999999977</v>
      </c>
      <c r="K588">
        <f t="shared" si="32"/>
        <v>4.7541709999999977</v>
      </c>
    </row>
    <row r="589" spans="2:11" x14ac:dyDescent="0.25">
      <c r="B589" s="1">
        <v>45876</v>
      </c>
      <c r="C589" t="s">
        <v>72</v>
      </c>
      <c r="E589" t="s">
        <v>13</v>
      </c>
      <c r="F589">
        <v>38631.83</v>
      </c>
      <c r="G589" t="s">
        <v>91</v>
      </c>
      <c r="H589">
        <f t="shared" si="33"/>
        <v>-1.7224509999999995</v>
      </c>
      <c r="I589">
        <v>41</v>
      </c>
      <c r="J589">
        <f t="shared" si="31"/>
        <v>-70.620490999999987</v>
      </c>
      <c r="K589">
        <f t="shared" si="32"/>
        <v>0</v>
      </c>
    </row>
    <row r="590" spans="2:11" x14ac:dyDescent="0.25">
      <c r="B590" s="1">
        <v>45876</v>
      </c>
      <c r="C590" t="s">
        <v>72</v>
      </c>
      <c r="E590" t="s">
        <v>14</v>
      </c>
      <c r="F590">
        <v>50565.07</v>
      </c>
      <c r="G590" t="s">
        <v>91</v>
      </c>
      <c r="H590">
        <f t="shared" si="33"/>
        <v>1.8575209999999984</v>
      </c>
      <c r="I590">
        <v>41</v>
      </c>
      <c r="J590">
        <f t="shared" si="31"/>
        <v>76.158360999999928</v>
      </c>
      <c r="K590">
        <f t="shared" si="32"/>
        <v>76.158360999999928</v>
      </c>
    </row>
    <row r="591" spans="2:11" x14ac:dyDescent="0.25">
      <c r="B591" s="1">
        <v>45876</v>
      </c>
      <c r="C591" t="s">
        <v>72</v>
      </c>
      <c r="E591" t="s">
        <v>15</v>
      </c>
      <c r="F591">
        <v>44915.45</v>
      </c>
      <c r="G591" t="s">
        <v>91</v>
      </c>
      <c r="H591">
        <f t="shared" si="33"/>
        <v>0.16263499999999809</v>
      </c>
      <c r="I591">
        <v>41</v>
      </c>
      <c r="J591">
        <f t="shared" si="31"/>
        <v>6.6680349999999216</v>
      </c>
      <c r="K591">
        <f t="shared" si="32"/>
        <v>6.6680349999999216</v>
      </c>
    </row>
    <row r="592" spans="2:11" x14ac:dyDescent="0.25">
      <c r="B592" s="1">
        <v>45876</v>
      </c>
      <c r="C592" t="s">
        <v>72</v>
      </c>
      <c r="E592" t="s">
        <v>61</v>
      </c>
      <c r="F592">
        <v>45766.03</v>
      </c>
      <c r="G592" t="s">
        <v>91</v>
      </c>
      <c r="H592">
        <f t="shared" si="33"/>
        <v>0.41780899999999832</v>
      </c>
      <c r="I592">
        <v>41</v>
      </c>
      <c r="J592">
        <f t="shared" si="31"/>
        <v>17.130168999999931</v>
      </c>
      <c r="K592">
        <f t="shared" si="32"/>
        <v>17.130168999999931</v>
      </c>
    </row>
    <row r="593" spans="2:11" x14ac:dyDescent="0.25">
      <c r="B593" s="1">
        <v>45876</v>
      </c>
      <c r="C593" t="s">
        <v>72</v>
      </c>
      <c r="E593" t="s">
        <v>16</v>
      </c>
      <c r="G593" t="s">
        <v>91</v>
      </c>
      <c r="H593">
        <f t="shared" si="33"/>
        <v>-13.311999999999999</v>
      </c>
      <c r="I593">
        <v>41</v>
      </c>
      <c r="J593">
        <f t="shared" si="31"/>
        <v>-545.79200000000003</v>
      </c>
      <c r="K593">
        <f t="shared" si="32"/>
        <v>0</v>
      </c>
    </row>
    <row r="594" spans="2:11" x14ac:dyDescent="0.25">
      <c r="B594" s="1">
        <v>45876</v>
      </c>
      <c r="C594" t="s">
        <v>72</v>
      </c>
      <c r="E594" t="s">
        <v>17</v>
      </c>
      <c r="F594">
        <v>59198.73</v>
      </c>
      <c r="G594" t="s">
        <v>91</v>
      </c>
      <c r="H594">
        <f t="shared" si="33"/>
        <v>4.4476190000000013</v>
      </c>
      <c r="I594">
        <v>41</v>
      </c>
      <c r="J594">
        <f t="shared" si="31"/>
        <v>182.35237900000004</v>
      </c>
      <c r="K594">
        <f t="shared" si="32"/>
        <v>182.35237900000004</v>
      </c>
    </row>
    <row r="595" spans="2:11" x14ac:dyDescent="0.25">
      <c r="B595" s="1">
        <v>45876</v>
      </c>
      <c r="C595" t="s">
        <v>72</v>
      </c>
      <c r="E595" t="s">
        <v>12</v>
      </c>
      <c r="F595">
        <v>35621.269999999997</v>
      </c>
      <c r="G595" t="s">
        <v>91</v>
      </c>
      <c r="H595">
        <f t="shared" si="33"/>
        <v>-2.6256190000000021</v>
      </c>
      <c r="I595">
        <v>41</v>
      </c>
      <c r="J595">
        <f t="shared" si="31"/>
        <v>-107.65037900000009</v>
      </c>
      <c r="K595">
        <f t="shared" si="32"/>
        <v>0</v>
      </c>
    </row>
    <row r="596" spans="2:11" x14ac:dyDescent="0.25">
      <c r="B596" s="1">
        <v>45876</v>
      </c>
      <c r="C596" t="s">
        <v>72</v>
      </c>
      <c r="E596" t="s">
        <v>62</v>
      </c>
      <c r="F596">
        <v>45898.73</v>
      </c>
      <c r="G596" t="s">
        <v>91</v>
      </c>
      <c r="H596">
        <f t="shared" si="33"/>
        <v>0.45761900000000111</v>
      </c>
      <c r="I596">
        <v>41</v>
      </c>
      <c r="J596">
        <f t="shared" si="31"/>
        <v>18.762379000000045</v>
      </c>
      <c r="K596">
        <f t="shared" si="32"/>
        <v>18.762379000000045</v>
      </c>
    </row>
    <row r="597" spans="2:11" x14ac:dyDescent="0.25">
      <c r="B597" s="1">
        <v>45876</v>
      </c>
      <c r="C597" t="s">
        <v>72</v>
      </c>
      <c r="E597" t="s">
        <v>18</v>
      </c>
      <c r="F597">
        <v>44017.09</v>
      </c>
      <c r="G597" t="s">
        <v>91</v>
      </c>
      <c r="H597">
        <f t="shared" si="33"/>
        <v>-0.10687300000000199</v>
      </c>
      <c r="I597">
        <v>41</v>
      </c>
      <c r="J597">
        <f t="shared" si="31"/>
        <v>-4.3817930000000818</v>
      </c>
      <c r="K597">
        <f t="shared" si="32"/>
        <v>0</v>
      </c>
    </row>
    <row r="598" spans="2:11" x14ac:dyDescent="0.25">
      <c r="B598" s="1">
        <v>45876</v>
      </c>
      <c r="C598" t="s">
        <v>72</v>
      </c>
      <c r="E598" t="s">
        <v>19</v>
      </c>
      <c r="F598">
        <v>45084.639999999999</v>
      </c>
      <c r="G598" t="s">
        <v>91</v>
      </c>
      <c r="H598">
        <f t="shared" si="33"/>
        <v>0.21339199999999892</v>
      </c>
      <c r="I598">
        <v>41</v>
      </c>
      <c r="J598">
        <f t="shared" si="31"/>
        <v>8.7490719999999556</v>
      </c>
      <c r="K598">
        <f t="shared" si="32"/>
        <v>8.7490719999999556</v>
      </c>
    </row>
    <row r="599" spans="2:11" x14ac:dyDescent="0.25">
      <c r="B599" s="1">
        <v>45876</v>
      </c>
      <c r="C599" t="s">
        <v>72</v>
      </c>
      <c r="E599" t="s">
        <v>20</v>
      </c>
      <c r="F599">
        <v>46802.27</v>
      </c>
      <c r="G599" t="s">
        <v>91</v>
      </c>
      <c r="H599">
        <f t="shared" si="33"/>
        <v>0.72868099999999814</v>
      </c>
      <c r="I599">
        <v>41</v>
      </c>
      <c r="J599">
        <f t="shared" si="31"/>
        <v>29.875920999999924</v>
      </c>
      <c r="K599">
        <f t="shared" si="32"/>
        <v>29.875920999999924</v>
      </c>
    </row>
    <row r="600" spans="2:11" x14ac:dyDescent="0.25">
      <c r="B600" s="1">
        <v>45876</v>
      </c>
      <c r="C600" t="s">
        <v>72</v>
      </c>
      <c r="E600" t="s">
        <v>63</v>
      </c>
      <c r="F600">
        <v>51877.84</v>
      </c>
      <c r="G600" t="s">
        <v>91</v>
      </c>
      <c r="H600">
        <f t="shared" si="33"/>
        <v>2.2513519999999989</v>
      </c>
      <c r="I600">
        <v>41</v>
      </c>
      <c r="J600">
        <f t="shared" si="31"/>
        <v>92.305431999999954</v>
      </c>
      <c r="K600">
        <f t="shared" si="32"/>
        <v>92.305431999999954</v>
      </c>
    </row>
    <row r="601" spans="2:11" x14ac:dyDescent="0.25">
      <c r="B601" s="1">
        <v>45876</v>
      </c>
      <c r="C601" t="s">
        <v>72</v>
      </c>
      <c r="D601" t="s">
        <v>67</v>
      </c>
      <c r="E601">
        <v>1</v>
      </c>
      <c r="F601">
        <v>55002.15</v>
      </c>
      <c r="G601" t="s">
        <v>91</v>
      </c>
      <c r="H601">
        <f t="shared" si="33"/>
        <v>3.1886449999999993</v>
      </c>
      <c r="I601">
        <v>1</v>
      </c>
      <c r="J601">
        <f t="shared" si="31"/>
        <v>3.1886449999999993</v>
      </c>
      <c r="K601">
        <f t="shared" si="32"/>
        <v>3.1886449999999993</v>
      </c>
    </row>
    <row r="602" spans="2:11" x14ac:dyDescent="0.25">
      <c r="B602" s="1">
        <v>45876</v>
      </c>
      <c r="C602" t="s">
        <v>72</v>
      </c>
      <c r="D602" t="s">
        <v>67</v>
      </c>
      <c r="E602">
        <v>2</v>
      </c>
      <c r="F602">
        <v>62036.08</v>
      </c>
      <c r="G602" t="s">
        <v>91</v>
      </c>
      <c r="H602">
        <f t="shared" si="33"/>
        <v>5.298823999999998</v>
      </c>
      <c r="I602">
        <v>1</v>
      </c>
      <c r="J602">
        <f t="shared" si="31"/>
        <v>5.298823999999998</v>
      </c>
      <c r="K602">
        <f t="shared" si="32"/>
        <v>5.298823999999998</v>
      </c>
    </row>
    <row r="603" spans="2:11" x14ac:dyDescent="0.25">
      <c r="B603" s="1">
        <v>45876</v>
      </c>
      <c r="C603" t="s">
        <v>72</v>
      </c>
      <c r="D603" t="s">
        <v>67</v>
      </c>
      <c r="E603">
        <v>3</v>
      </c>
      <c r="F603">
        <v>52398.69</v>
      </c>
      <c r="G603" t="s">
        <v>91</v>
      </c>
      <c r="H603">
        <f t="shared" si="33"/>
        <v>2.4076070000000005</v>
      </c>
      <c r="I603">
        <v>1</v>
      </c>
      <c r="J603">
        <f t="shared" si="31"/>
        <v>2.4076070000000005</v>
      </c>
      <c r="K603">
        <f t="shared" si="32"/>
        <v>2.4076070000000005</v>
      </c>
    </row>
    <row r="604" spans="2:11" x14ac:dyDescent="0.25">
      <c r="B604" s="1">
        <v>45874</v>
      </c>
      <c r="C604" t="s">
        <v>12</v>
      </c>
      <c r="E604" t="s">
        <v>13</v>
      </c>
      <c r="F604">
        <v>72182.53</v>
      </c>
      <c r="G604" t="s">
        <v>91</v>
      </c>
      <c r="H604">
        <f t="shared" si="33"/>
        <v>8.3427589999999991</v>
      </c>
      <c r="I604">
        <v>41</v>
      </c>
      <c r="J604">
        <f t="shared" si="31"/>
        <v>342.05311899999998</v>
      </c>
      <c r="K604">
        <f t="shared" si="32"/>
        <v>342.05311899999998</v>
      </c>
    </row>
    <row r="605" spans="2:11" x14ac:dyDescent="0.25">
      <c r="B605" s="1">
        <v>45874</v>
      </c>
      <c r="C605" t="s">
        <v>12</v>
      </c>
      <c r="E605" t="s">
        <v>14</v>
      </c>
      <c r="F605">
        <v>74304.95</v>
      </c>
      <c r="G605" t="s">
        <v>91</v>
      </c>
      <c r="H605">
        <f t="shared" si="33"/>
        <v>8.9794849999999986</v>
      </c>
      <c r="I605">
        <v>41</v>
      </c>
      <c r="J605">
        <f t="shared" si="31"/>
        <v>368.15888499999994</v>
      </c>
      <c r="K605">
        <f t="shared" si="32"/>
        <v>368.15888499999994</v>
      </c>
    </row>
    <row r="606" spans="2:11" x14ac:dyDescent="0.25">
      <c r="B606" s="1">
        <v>45874</v>
      </c>
      <c r="C606" t="s">
        <v>12</v>
      </c>
      <c r="E606" t="s">
        <v>15</v>
      </c>
      <c r="F606">
        <v>60802.73</v>
      </c>
      <c r="G606" t="s">
        <v>91</v>
      </c>
      <c r="H606">
        <f t="shared" si="33"/>
        <v>4.928818999999999</v>
      </c>
      <c r="I606">
        <v>41</v>
      </c>
      <c r="J606">
        <f t="shared" si="31"/>
        <v>202.08157899999995</v>
      </c>
      <c r="K606">
        <f t="shared" si="32"/>
        <v>202.08157899999995</v>
      </c>
    </row>
    <row r="607" spans="2:11" x14ac:dyDescent="0.25">
      <c r="B607" s="1">
        <v>45874</v>
      </c>
      <c r="C607" t="s">
        <v>12</v>
      </c>
      <c r="E607" t="s">
        <v>16</v>
      </c>
      <c r="F607">
        <v>40867.620000000003</v>
      </c>
      <c r="G607" t="s">
        <v>91</v>
      </c>
      <c r="H607">
        <f t="shared" si="33"/>
        <v>-1.0517140000000005</v>
      </c>
      <c r="I607">
        <v>41</v>
      </c>
      <c r="J607">
        <f t="shared" si="31"/>
        <v>-43.120274000000023</v>
      </c>
      <c r="K607">
        <f t="shared" si="32"/>
        <v>0</v>
      </c>
    </row>
    <row r="608" spans="2:11" x14ac:dyDescent="0.25">
      <c r="B608" s="1">
        <v>45874</v>
      </c>
      <c r="C608" t="s">
        <v>12</v>
      </c>
      <c r="E608" t="s">
        <v>17</v>
      </c>
      <c r="F608">
        <v>34161.82</v>
      </c>
      <c r="G608" t="s">
        <v>91</v>
      </c>
      <c r="H608">
        <f t="shared" si="33"/>
        <v>-3.0634540000000001</v>
      </c>
      <c r="I608">
        <v>41</v>
      </c>
      <c r="J608">
        <f t="shared" si="31"/>
        <v>-125.60161400000001</v>
      </c>
      <c r="K608">
        <f t="shared" si="32"/>
        <v>0</v>
      </c>
    </row>
    <row r="609" spans="2:11" x14ac:dyDescent="0.25">
      <c r="B609" s="1">
        <v>45874</v>
      </c>
      <c r="C609" t="s">
        <v>12</v>
      </c>
      <c r="E609" t="s">
        <v>12</v>
      </c>
      <c r="F609">
        <v>42284.18</v>
      </c>
      <c r="G609" t="s">
        <v>91</v>
      </c>
      <c r="H609">
        <f t="shared" si="33"/>
        <v>-0.62674600000000069</v>
      </c>
      <c r="I609">
        <v>41</v>
      </c>
      <c r="J609">
        <f t="shared" si="31"/>
        <v>-25.696586000000028</v>
      </c>
      <c r="K609">
        <f t="shared" si="32"/>
        <v>0</v>
      </c>
    </row>
    <row r="610" spans="2:11" x14ac:dyDescent="0.25">
      <c r="B610" s="1">
        <v>45874</v>
      </c>
      <c r="C610" t="s">
        <v>12</v>
      </c>
      <c r="E610" t="s">
        <v>18</v>
      </c>
      <c r="F610">
        <v>35856.43</v>
      </c>
      <c r="G610" t="s">
        <v>91</v>
      </c>
      <c r="H610">
        <f t="shared" si="33"/>
        <v>-2.5550709999999999</v>
      </c>
      <c r="I610">
        <v>41</v>
      </c>
      <c r="J610">
        <f t="shared" si="31"/>
        <v>-104.75791099999999</v>
      </c>
      <c r="K610">
        <f t="shared" si="32"/>
        <v>0</v>
      </c>
    </row>
    <row r="611" spans="2:11" x14ac:dyDescent="0.25">
      <c r="B611" s="1">
        <v>45874</v>
      </c>
      <c r="C611" t="s">
        <v>12</v>
      </c>
      <c r="E611" t="s">
        <v>19</v>
      </c>
      <c r="F611">
        <v>36105.43</v>
      </c>
      <c r="G611" t="s">
        <v>91</v>
      </c>
      <c r="H611">
        <f t="shared" si="33"/>
        <v>-2.4803709999999999</v>
      </c>
      <c r="I611">
        <v>41</v>
      </c>
      <c r="J611">
        <f t="shared" si="31"/>
        <v>-101.695211</v>
      </c>
      <c r="K611">
        <f t="shared" si="32"/>
        <v>0</v>
      </c>
    </row>
    <row r="612" spans="2:11" x14ac:dyDescent="0.25">
      <c r="B612" s="1">
        <v>45874</v>
      </c>
      <c r="C612" t="s">
        <v>12</v>
      </c>
      <c r="E612" t="s">
        <v>20</v>
      </c>
      <c r="F612">
        <v>44326.17</v>
      </c>
      <c r="G612" t="s">
        <v>91</v>
      </c>
      <c r="H612">
        <f t="shared" si="33"/>
        <v>-1.4149000000001521E-2</v>
      </c>
      <c r="I612">
        <v>41</v>
      </c>
      <c r="J612">
        <f t="shared" si="31"/>
        <v>-0.58010900000006238</v>
      </c>
      <c r="K612">
        <f t="shared" si="32"/>
        <v>0</v>
      </c>
    </row>
    <row r="613" spans="2:11" x14ac:dyDescent="0.25">
      <c r="B613" s="1">
        <v>45874</v>
      </c>
      <c r="C613" t="s">
        <v>12</v>
      </c>
      <c r="E613" t="s">
        <v>21</v>
      </c>
      <c r="F613">
        <v>81076.039999999994</v>
      </c>
      <c r="G613" t="s">
        <v>91</v>
      </c>
      <c r="H613">
        <f t="shared" si="33"/>
        <v>11.010811999999996</v>
      </c>
      <c r="I613">
        <v>41</v>
      </c>
      <c r="J613">
        <f t="shared" si="31"/>
        <v>451.44329199999981</v>
      </c>
      <c r="K613">
        <f t="shared" si="32"/>
        <v>451.44329199999981</v>
      </c>
    </row>
    <row r="614" spans="2:11" x14ac:dyDescent="0.25">
      <c r="B614" s="1">
        <v>45874</v>
      </c>
      <c r="C614" t="s">
        <v>12</v>
      </c>
      <c r="E614" t="s">
        <v>22</v>
      </c>
      <c r="F614">
        <v>52720.29</v>
      </c>
      <c r="G614" t="s">
        <v>91</v>
      </c>
      <c r="H614">
        <f t="shared" si="33"/>
        <v>2.5040870000000002</v>
      </c>
      <c r="I614">
        <v>41</v>
      </c>
      <c r="J614">
        <f t="shared" si="31"/>
        <v>102.66756700000001</v>
      </c>
      <c r="K614">
        <f t="shared" si="32"/>
        <v>102.66756700000001</v>
      </c>
    </row>
    <row r="615" spans="2:11" x14ac:dyDescent="0.25">
      <c r="B615" s="1">
        <v>45874</v>
      </c>
      <c r="C615" t="s">
        <v>12</v>
      </c>
      <c r="E615" t="s">
        <v>23</v>
      </c>
      <c r="F615">
        <v>58530.89</v>
      </c>
      <c r="G615" t="s">
        <v>91</v>
      </c>
      <c r="H615">
        <f t="shared" si="33"/>
        <v>4.247266999999999</v>
      </c>
      <c r="I615">
        <v>41</v>
      </c>
      <c r="J615">
        <f t="shared" si="31"/>
        <v>174.13794699999997</v>
      </c>
      <c r="K615">
        <f t="shared" si="32"/>
        <v>174.13794699999997</v>
      </c>
    </row>
    <row r="616" spans="2:11" x14ac:dyDescent="0.25">
      <c r="B616" s="1">
        <v>45874</v>
      </c>
      <c r="C616" t="s">
        <v>12</v>
      </c>
      <c r="E616" t="s">
        <v>24</v>
      </c>
      <c r="F616">
        <v>56540.65</v>
      </c>
      <c r="G616" t="s">
        <v>91</v>
      </c>
      <c r="H616">
        <f t="shared" si="33"/>
        <v>3.6501949999999983</v>
      </c>
      <c r="I616">
        <v>41</v>
      </c>
      <c r="J616">
        <f t="shared" si="31"/>
        <v>149.65799499999994</v>
      </c>
      <c r="K616">
        <f t="shared" si="32"/>
        <v>149.65799499999994</v>
      </c>
    </row>
    <row r="617" spans="2:11" x14ac:dyDescent="0.25">
      <c r="B617" s="1">
        <v>45874</v>
      </c>
      <c r="C617" t="s">
        <v>12</v>
      </c>
      <c r="E617" t="s">
        <v>25</v>
      </c>
      <c r="F617">
        <v>45383.17</v>
      </c>
      <c r="G617" t="s">
        <v>91</v>
      </c>
      <c r="H617">
        <f t="shared" si="33"/>
        <v>0.30295099999999842</v>
      </c>
      <c r="I617">
        <v>41</v>
      </c>
      <c r="J617">
        <f t="shared" si="31"/>
        <v>12.420990999999935</v>
      </c>
      <c r="K617">
        <f t="shared" si="32"/>
        <v>12.420990999999935</v>
      </c>
    </row>
    <row r="618" spans="2:11" x14ac:dyDescent="0.25">
      <c r="B618" s="1">
        <v>45874</v>
      </c>
      <c r="C618" t="s">
        <v>12</v>
      </c>
      <c r="E618" t="s">
        <v>26</v>
      </c>
      <c r="F618">
        <v>40898.339999999997</v>
      </c>
      <c r="G618" t="s">
        <v>91</v>
      </c>
      <c r="H618">
        <f t="shared" si="33"/>
        <v>-1.0424980000000019</v>
      </c>
      <c r="I618">
        <v>41</v>
      </c>
      <c r="J618">
        <f t="shared" si="31"/>
        <v>-42.742418000000079</v>
      </c>
      <c r="K618">
        <f t="shared" si="32"/>
        <v>0</v>
      </c>
    </row>
    <row r="619" spans="2:11" x14ac:dyDescent="0.25">
      <c r="B619" s="1">
        <v>45874</v>
      </c>
      <c r="C619" t="s">
        <v>12</v>
      </c>
      <c r="E619" t="s">
        <v>27</v>
      </c>
      <c r="F619">
        <v>68941.09</v>
      </c>
      <c r="G619" t="s">
        <v>91</v>
      </c>
      <c r="H619">
        <f t="shared" si="33"/>
        <v>7.3703269999999979</v>
      </c>
      <c r="I619">
        <v>41</v>
      </c>
      <c r="J619">
        <f t="shared" si="31"/>
        <v>302.18340699999993</v>
      </c>
      <c r="K619">
        <f t="shared" si="32"/>
        <v>302.18340699999993</v>
      </c>
    </row>
    <row r="620" spans="2:11" x14ac:dyDescent="0.25">
      <c r="B620" s="1">
        <v>45874</v>
      </c>
      <c r="C620" t="s">
        <v>12</v>
      </c>
      <c r="E620" t="s">
        <v>28</v>
      </c>
      <c r="F620">
        <v>55642.19</v>
      </c>
      <c r="G620" t="s">
        <v>91</v>
      </c>
      <c r="H620">
        <f t="shared" si="33"/>
        <v>3.3806570000000011</v>
      </c>
      <c r="I620">
        <v>41</v>
      </c>
      <c r="J620">
        <f t="shared" si="31"/>
        <v>138.60693700000004</v>
      </c>
      <c r="K620">
        <f t="shared" si="32"/>
        <v>138.60693700000004</v>
      </c>
    </row>
    <row r="621" spans="2:11" x14ac:dyDescent="0.25">
      <c r="B621" s="1">
        <v>45874</v>
      </c>
      <c r="C621" t="s">
        <v>12</v>
      </c>
      <c r="E621" t="s">
        <v>29</v>
      </c>
      <c r="F621">
        <v>32601.62</v>
      </c>
      <c r="G621" t="s">
        <v>91</v>
      </c>
      <c r="H621">
        <f t="shared" si="33"/>
        <v>-3.5315140000000014</v>
      </c>
      <c r="I621">
        <v>41</v>
      </c>
      <c r="J621">
        <f t="shared" si="31"/>
        <v>-144.79207400000007</v>
      </c>
      <c r="K621">
        <f t="shared" si="32"/>
        <v>0</v>
      </c>
    </row>
    <row r="622" spans="2:11" x14ac:dyDescent="0.25">
      <c r="B622" s="1">
        <v>45874</v>
      </c>
      <c r="C622" t="s">
        <v>30</v>
      </c>
      <c r="E622" t="s">
        <v>13</v>
      </c>
      <c r="F622">
        <v>60930.74</v>
      </c>
      <c r="G622" t="s">
        <v>91</v>
      </c>
      <c r="H622">
        <f t="shared" si="33"/>
        <v>4.9672219999999978</v>
      </c>
      <c r="I622">
        <v>41</v>
      </c>
      <c r="J622">
        <f t="shared" si="31"/>
        <v>203.65610199999992</v>
      </c>
      <c r="K622">
        <f t="shared" si="32"/>
        <v>203.65610199999992</v>
      </c>
    </row>
    <row r="623" spans="2:11" x14ac:dyDescent="0.25">
      <c r="B623" s="1">
        <v>45874</v>
      </c>
      <c r="C623" t="s">
        <v>30</v>
      </c>
      <c r="E623" t="s">
        <v>14</v>
      </c>
      <c r="F623">
        <v>79810.61</v>
      </c>
      <c r="G623" t="s">
        <v>91</v>
      </c>
      <c r="H623">
        <f t="shared" si="33"/>
        <v>10.631182999999998</v>
      </c>
      <c r="I623">
        <v>41</v>
      </c>
      <c r="J623">
        <f t="shared" ref="J623:J686" si="34">H623*I623</f>
        <v>435.87850299999991</v>
      </c>
      <c r="K623">
        <f t="shared" ref="K623:K686" si="35">MAX(J623,0)</f>
        <v>435.87850299999991</v>
      </c>
    </row>
    <row r="624" spans="2:11" x14ac:dyDescent="0.25">
      <c r="B624" s="1">
        <v>45874</v>
      </c>
      <c r="C624" t="s">
        <v>30</v>
      </c>
      <c r="E624" t="s">
        <v>15</v>
      </c>
      <c r="F624">
        <v>56548.31</v>
      </c>
      <c r="G624" t="s">
        <v>91</v>
      </c>
      <c r="H624">
        <f t="shared" ref="H624:H687" si="36">(0.0003*F624)-13.312</f>
        <v>3.652492999999998</v>
      </c>
      <c r="I624">
        <v>41</v>
      </c>
      <c r="J624">
        <f t="shared" si="34"/>
        <v>149.75221299999993</v>
      </c>
      <c r="K624">
        <f t="shared" si="35"/>
        <v>149.75221299999993</v>
      </c>
    </row>
    <row r="625" spans="2:11" x14ac:dyDescent="0.25">
      <c r="B625" s="1">
        <v>45874</v>
      </c>
      <c r="C625" t="s">
        <v>30</v>
      </c>
      <c r="E625" t="s">
        <v>16</v>
      </c>
      <c r="F625">
        <v>39434.97</v>
      </c>
      <c r="G625" t="s">
        <v>91</v>
      </c>
      <c r="H625">
        <f t="shared" si="36"/>
        <v>-1.4815090000000009</v>
      </c>
      <c r="I625">
        <v>41</v>
      </c>
      <c r="J625">
        <f t="shared" si="34"/>
        <v>-60.741869000000037</v>
      </c>
      <c r="K625">
        <f t="shared" si="35"/>
        <v>0</v>
      </c>
    </row>
    <row r="626" spans="2:11" x14ac:dyDescent="0.25">
      <c r="B626" s="1">
        <v>45874</v>
      </c>
      <c r="C626" t="s">
        <v>30</v>
      </c>
      <c r="E626" t="s">
        <v>17</v>
      </c>
      <c r="F626">
        <v>48704.84</v>
      </c>
      <c r="G626" t="s">
        <v>91</v>
      </c>
      <c r="H626">
        <f t="shared" si="36"/>
        <v>1.2994519999999987</v>
      </c>
      <c r="I626">
        <v>41</v>
      </c>
      <c r="J626">
        <f t="shared" si="34"/>
        <v>53.277531999999951</v>
      </c>
      <c r="K626">
        <f t="shared" si="35"/>
        <v>53.277531999999951</v>
      </c>
    </row>
    <row r="627" spans="2:11" x14ac:dyDescent="0.25">
      <c r="B627" s="1">
        <v>45874</v>
      </c>
      <c r="C627" t="s">
        <v>30</v>
      </c>
      <c r="E627" t="s">
        <v>12</v>
      </c>
      <c r="F627">
        <v>49614.68</v>
      </c>
      <c r="G627" t="s">
        <v>91</v>
      </c>
      <c r="H627">
        <f t="shared" si="36"/>
        <v>1.5724039999999988</v>
      </c>
      <c r="I627">
        <v>41</v>
      </c>
      <c r="J627">
        <f t="shared" si="34"/>
        <v>64.468563999999958</v>
      </c>
      <c r="K627">
        <f t="shared" si="35"/>
        <v>64.468563999999958</v>
      </c>
    </row>
    <row r="628" spans="2:11" x14ac:dyDescent="0.25">
      <c r="B628" s="1">
        <v>45874</v>
      </c>
      <c r="C628" t="s">
        <v>30</v>
      </c>
      <c r="E628" t="s">
        <v>18</v>
      </c>
      <c r="F628">
        <v>31599.75</v>
      </c>
      <c r="G628" t="s">
        <v>91</v>
      </c>
      <c r="H628">
        <f t="shared" si="36"/>
        <v>-3.8320749999999997</v>
      </c>
      <c r="I628">
        <v>41</v>
      </c>
      <c r="J628">
        <f t="shared" si="34"/>
        <v>-157.11507499999999</v>
      </c>
      <c r="K628">
        <f t="shared" si="35"/>
        <v>0</v>
      </c>
    </row>
    <row r="629" spans="2:11" x14ac:dyDescent="0.25">
      <c r="B629" s="1">
        <v>45874</v>
      </c>
      <c r="C629" t="s">
        <v>30</v>
      </c>
      <c r="E629" t="s">
        <v>19</v>
      </c>
      <c r="F629">
        <v>32313.4</v>
      </c>
      <c r="G629" t="s">
        <v>91</v>
      </c>
      <c r="H629">
        <f t="shared" si="36"/>
        <v>-3.6179799999999993</v>
      </c>
      <c r="I629">
        <v>41</v>
      </c>
      <c r="J629">
        <f t="shared" si="34"/>
        <v>-148.33717999999996</v>
      </c>
      <c r="K629">
        <f t="shared" si="35"/>
        <v>0</v>
      </c>
    </row>
    <row r="630" spans="2:11" x14ac:dyDescent="0.25">
      <c r="B630" s="1">
        <v>45874</v>
      </c>
      <c r="C630" t="s">
        <v>30</v>
      </c>
      <c r="E630" t="s">
        <v>20</v>
      </c>
      <c r="F630">
        <v>38654.269999999997</v>
      </c>
      <c r="G630" t="s">
        <v>91</v>
      </c>
      <c r="H630">
        <f t="shared" si="36"/>
        <v>-1.7157190000000018</v>
      </c>
      <c r="I630">
        <v>41</v>
      </c>
      <c r="J630">
        <f t="shared" si="34"/>
        <v>-70.344479000000078</v>
      </c>
      <c r="K630">
        <f t="shared" si="35"/>
        <v>0</v>
      </c>
    </row>
    <row r="631" spans="2:11" x14ac:dyDescent="0.25">
      <c r="B631" s="1">
        <v>45874</v>
      </c>
      <c r="C631" t="s">
        <v>30</v>
      </c>
      <c r="E631" t="s">
        <v>21</v>
      </c>
      <c r="F631">
        <v>31008.09</v>
      </c>
      <c r="G631" t="s">
        <v>91</v>
      </c>
      <c r="H631">
        <f t="shared" si="36"/>
        <v>-4.0095729999999996</v>
      </c>
      <c r="I631">
        <v>41</v>
      </c>
      <c r="J631">
        <f t="shared" si="34"/>
        <v>-164.39249299999997</v>
      </c>
      <c r="K631">
        <f t="shared" si="35"/>
        <v>0</v>
      </c>
    </row>
    <row r="632" spans="2:11" x14ac:dyDescent="0.25">
      <c r="B632" s="1">
        <v>45874</v>
      </c>
      <c r="C632" t="s">
        <v>30</v>
      </c>
      <c r="E632" t="s">
        <v>22</v>
      </c>
      <c r="F632">
        <v>27862.68</v>
      </c>
      <c r="G632" t="s">
        <v>91</v>
      </c>
      <c r="H632">
        <f t="shared" si="36"/>
        <v>-4.9531960000000002</v>
      </c>
      <c r="I632">
        <v>41</v>
      </c>
      <c r="J632">
        <f t="shared" si="34"/>
        <v>-203.08103600000001</v>
      </c>
      <c r="K632">
        <f t="shared" si="35"/>
        <v>0</v>
      </c>
    </row>
    <row r="633" spans="2:11" x14ac:dyDescent="0.25">
      <c r="B633" s="1">
        <v>45874</v>
      </c>
      <c r="C633" t="s">
        <v>30</v>
      </c>
      <c r="E633" t="s">
        <v>23</v>
      </c>
      <c r="F633">
        <v>32171.29</v>
      </c>
      <c r="G633" t="s">
        <v>91</v>
      </c>
      <c r="H633">
        <f t="shared" si="36"/>
        <v>-3.6606129999999997</v>
      </c>
      <c r="I633">
        <v>41</v>
      </c>
      <c r="J633">
        <f t="shared" si="34"/>
        <v>-150.08513299999998</v>
      </c>
      <c r="K633">
        <f t="shared" si="35"/>
        <v>0</v>
      </c>
    </row>
    <row r="634" spans="2:11" x14ac:dyDescent="0.25">
      <c r="B634" s="1">
        <v>45874</v>
      </c>
      <c r="C634" t="s">
        <v>30</v>
      </c>
      <c r="E634" t="s">
        <v>24</v>
      </c>
      <c r="F634">
        <v>49269.07</v>
      </c>
      <c r="G634" t="s">
        <v>91</v>
      </c>
      <c r="H634">
        <f t="shared" si="36"/>
        <v>1.4687209999999986</v>
      </c>
      <c r="I634">
        <v>41</v>
      </c>
      <c r="J634">
        <f t="shared" si="34"/>
        <v>60.217560999999947</v>
      </c>
      <c r="K634">
        <f t="shared" si="35"/>
        <v>60.217560999999947</v>
      </c>
    </row>
    <row r="635" spans="2:11" x14ac:dyDescent="0.25">
      <c r="B635" s="1">
        <v>45874</v>
      </c>
      <c r="C635" t="s">
        <v>30</v>
      </c>
      <c r="E635" t="s">
        <v>25</v>
      </c>
      <c r="F635">
        <v>171358.39</v>
      </c>
      <c r="G635" t="s">
        <v>91</v>
      </c>
      <c r="H635">
        <f t="shared" si="36"/>
        <v>38.095517000000001</v>
      </c>
      <c r="I635">
        <v>41</v>
      </c>
      <c r="J635">
        <f t="shared" si="34"/>
        <v>1561.916197</v>
      </c>
      <c r="K635">
        <f t="shared" si="35"/>
        <v>1561.916197</v>
      </c>
    </row>
    <row r="636" spans="2:11" x14ac:dyDescent="0.25">
      <c r="B636" s="1">
        <v>45874</v>
      </c>
      <c r="C636" t="s">
        <v>30</v>
      </c>
      <c r="E636" t="s">
        <v>26</v>
      </c>
      <c r="F636">
        <v>55097.33</v>
      </c>
      <c r="G636" t="s">
        <v>91</v>
      </c>
      <c r="H636">
        <f t="shared" si="36"/>
        <v>3.217198999999999</v>
      </c>
      <c r="I636">
        <v>41</v>
      </c>
      <c r="J636">
        <f t="shared" si="34"/>
        <v>131.90515899999997</v>
      </c>
      <c r="K636">
        <f t="shared" si="35"/>
        <v>131.90515899999997</v>
      </c>
    </row>
    <row r="637" spans="2:11" x14ac:dyDescent="0.25">
      <c r="B637" s="1">
        <v>45874</v>
      </c>
      <c r="C637" t="s">
        <v>30</v>
      </c>
      <c r="E637" t="s">
        <v>27</v>
      </c>
      <c r="F637">
        <v>34852</v>
      </c>
      <c r="G637" t="s">
        <v>91</v>
      </c>
      <c r="H637">
        <f t="shared" si="36"/>
        <v>-2.8564000000000007</v>
      </c>
      <c r="I637">
        <v>41</v>
      </c>
      <c r="J637">
        <f t="shared" si="34"/>
        <v>-117.11240000000004</v>
      </c>
      <c r="K637">
        <f t="shared" si="35"/>
        <v>0</v>
      </c>
    </row>
    <row r="638" spans="2:11" x14ac:dyDescent="0.25">
      <c r="B638" s="1">
        <v>45874</v>
      </c>
      <c r="C638" t="s">
        <v>30</v>
      </c>
      <c r="E638" t="s">
        <v>28</v>
      </c>
      <c r="F638">
        <v>32047.78</v>
      </c>
      <c r="G638" t="s">
        <v>91</v>
      </c>
      <c r="H638">
        <f t="shared" si="36"/>
        <v>-3.6976659999999999</v>
      </c>
      <c r="I638">
        <v>41</v>
      </c>
      <c r="J638">
        <f t="shared" si="34"/>
        <v>-151.60430600000001</v>
      </c>
      <c r="K638">
        <f t="shared" si="35"/>
        <v>0</v>
      </c>
    </row>
    <row r="639" spans="2:11" x14ac:dyDescent="0.25">
      <c r="B639" s="1">
        <v>45874</v>
      </c>
      <c r="C639" t="s">
        <v>30</v>
      </c>
      <c r="E639" t="s">
        <v>29</v>
      </c>
      <c r="F639">
        <v>38021.980000000003</v>
      </c>
      <c r="G639" t="s">
        <v>91</v>
      </c>
      <c r="H639">
        <f t="shared" si="36"/>
        <v>-1.9054059999999993</v>
      </c>
      <c r="I639">
        <v>41</v>
      </c>
      <c r="J639">
        <f t="shared" si="34"/>
        <v>-78.12164599999997</v>
      </c>
      <c r="K639">
        <f t="shared" si="35"/>
        <v>0</v>
      </c>
    </row>
    <row r="640" spans="2:11" x14ac:dyDescent="0.25">
      <c r="B640" s="1">
        <v>45913</v>
      </c>
      <c r="C640" t="s">
        <v>68</v>
      </c>
      <c r="E640" t="s">
        <v>13</v>
      </c>
      <c r="F640">
        <v>127373.07</v>
      </c>
      <c r="G640" t="s">
        <v>91</v>
      </c>
      <c r="H640">
        <f t="shared" si="36"/>
        <v>24.899920999999999</v>
      </c>
      <c r="I640">
        <v>41</v>
      </c>
      <c r="J640">
        <f t="shared" si="34"/>
        <v>1020.896761</v>
      </c>
      <c r="K640">
        <f t="shared" si="35"/>
        <v>1020.896761</v>
      </c>
    </row>
    <row r="641" spans="2:11" x14ac:dyDescent="0.25">
      <c r="B641" s="1">
        <v>45913</v>
      </c>
      <c r="C641" t="s">
        <v>68</v>
      </c>
      <c r="E641" t="s">
        <v>14</v>
      </c>
      <c r="F641">
        <v>144170.73000000001</v>
      </c>
      <c r="G641" t="s">
        <v>91</v>
      </c>
      <c r="H641">
        <f t="shared" si="36"/>
        <v>29.939219000000001</v>
      </c>
      <c r="I641">
        <v>41</v>
      </c>
      <c r="J641">
        <f t="shared" si="34"/>
        <v>1227.507979</v>
      </c>
      <c r="K641">
        <f t="shared" si="35"/>
        <v>1227.507979</v>
      </c>
    </row>
    <row r="642" spans="2:11" x14ac:dyDescent="0.25">
      <c r="B642" s="1">
        <v>45913</v>
      </c>
      <c r="C642" t="s">
        <v>68</v>
      </c>
      <c r="E642" t="s">
        <v>15</v>
      </c>
      <c r="F642">
        <v>47624.14</v>
      </c>
      <c r="G642" t="s">
        <v>91</v>
      </c>
      <c r="H642">
        <f t="shared" si="36"/>
        <v>0.97524199999999972</v>
      </c>
      <c r="I642">
        <v>41</v>
      </c>
      <c r="J642">
        <f t="shared" si="34"/>
        <v>39.98492199999999</v>
      </c>
      <c r="K642">
        <f t="shared" si="35"/>
        <v>39.98492199999999</v>
      </c>
    </row>
    <row r="643" spans="2:11" x14ac:dyDescent="0.25">
      <c r="B643" s="1">
        <v>45913</v>
      </c>
      <c r="C643" t="s">
        <v>68</v>
      </c>
      <c r="E643" t="s">
        <v>61</v>
      </c>
      <c r="F643">
        <v>38331.75</v>
      </c>
      <c r="G643" t="s">
        <v>91</v>
      </c>
      <c r="H643">
        <f t="shared" si="36"/>
        <v>-1.8124750000000009</v>
      </c>
      <c r="I643">
        <v>41</v>
      </c>
      <c r="J643">
        <f t="shared" si="34"/>
        <v>-74.311475000000044</v>
      </c>
      <c r="K643">
        <f t="shared" si="35"/>
        <v>0</v>
      </c>
    </row>
    <row r="644" spans="2:11" x14ac:dyDescent="0.25">
      <c r="B644" s="1">
        <v>45913</v>
      </c>
      <c r="C644" t="s">
        <v>68</v>
      </c>
      <c r="E644" t="s">
        <v>16</v>
      </c>
      <c r="F644">
        <v>38749.870000000003</v>
      </c>
      <c r="G644" t="s">
        <v>91</v>
      </c>
      <c r="H644">
        <f t="shared" si="36"/>
        <v>-1.6870390000000004</v>
      </c>
      <c r="I644">
        <v>41</v>
      </c>
      <c r="J644">
        <f t="shared" si="34"/>
        <v>-69.168599000000015</v>
      </c>
      <c r="K644">
        <f t="shared" si="35"/>
        <v>0</v>
      </c>
    </row>
    <row r="645" spans="2:11" x14ac:dyDescent="0.25">
      <c r="B645" s="1">
        <v>45913</v>
      </c>
      <c r="C645" t="s">
        <v>68</v>
      </c>
      <c r="E645" t="s">
        <v>17</v>
      </c>
      <c r="F645">
        <v>61140.36</v>
      </c>
      <c r="G645" t="s">
        <v>91</v>
      </c>
      <c r="H645">
        <f t="shared" si="36"/>
        <v>5.0301080000000002</v>
      </c>
      <c r="I645">
        <v>41</v>
      </c>
      <c r="J645">
        <f t="shared" si="34"/>
        <v>206.23442800000001</v>
      </c>
      <c r="K645">
        <f t="shared" si="35"/>
        <v>206.23442800000001</v>
      </c>
    </row>
    <row r="646" spans="2:11" x14ac:dyDescent="0.25">
      <c r="B646" s="1">
        <v>45913</v>
      </c>
      <c r="C646" t="s">
        <v>68</v>
      </c>
      <c r="E646" t="s">
        <v>12</v>
      </c>
      <c r="F646">
        <v>38241.620000000003</v>
      </c>
      <c r="G646" t="s">
        <v>91</v>
      </c>
      <c r="H646">
        <f t="shared" si="36"/>
        <v>-1.8395139999999994</v>
      </c>
      <c r="I646">
        <v>41</v>
      </c>
      <c r="J646">
        <f t="shared" si="34"/>
        <v>-75.420073999999971</v>
      </c>
      <c r="K646">
        <f t="shared" si="35"/>
        <v>0</v>
      </c>
    </row>
    <row r="647" spans="2:11" x14ac:dyDescent="0.25">
      <c r="B647" s="1">
        <v>45913</v>
      </c>
      <c r="C647" t="s">
        <v>68</v>
      </c>
      <c r="E647" t="s">
        <v>62</v>
      </c>
      <c r="F647">
        <v>40701.519999999997</v>
      </c>
      <c r="G647" t="s">
        <v>91</v>
      </c>
      <c r="H647">
        <f t="shared" si="36"/>
        <v>-1.1015440000000023</v>
      </c>
      <c r="I647">
        <v>41</v>
      </c>
      <c r="J647">
        <f t="shared" si="34"/>
        <v>-45.163304000000096</v>
      </c>
      <c r="K647">
        <f t="shared" si="35"/>
        <v>0</v>
      </c>
    </row>
    <row r="648" spans="2:11" x14ac:dyDescent="0.25">
      <c r="B648" s="1">
        <v>45913</v>
      </c>
      <c r="C648" t="s">
        <v>68</v>
      </c>
      <c r="E648" t="s">
        <v>18</v>
      </c>
      <c r="F648">
        <v>61699.27</v>
      </c>
      <c r="G648" t="s">
        <v>91</v>
      </c>
      <c r="H648">
        <f t="shared" si="36"/>
        <v>5.1977809999999973</v>
      </c>
      <c r="I648">
        <v>41</v>
      </c>
      <c r="J648">
        <f t="shared" si="34"/>
        <v>213.1090209999999</v>
      </c>
      <c r="K648">
        <f t="shared" si="35"/>
        <v>213.1090209999999</v>
      </c>
    </row>
    <row r="649" spans="2:11" x14ac:dyDescent="0.25">
      <c r="B649" s="1">
        <v>45913</v>
      </c>
      <c r="C649" t="s">
        <v>68</v>
      </c>
      <c r="E649" t="s">
        <v>19</v>
      </c>
      <c r="F649">
        <v>46139.61</v>
      </c>
      <c r="G649" t="s">
        <v>91</v>
      </c>
      <c r="H649">
        <f t="shared" si="36"/>
        <v>0.52988299999999988</v>
      </c>
      <c r="I649">
        <v>41</v>
      </c>
      <c r="J649">
        <f t="shared" si="34"/>
        <v>21.725202999999993</v>
      </c>
      <c r="K649">
        <f t="shared" si="35"/>
        <v>21.725202999999993</v>
      </c>
    </row>
    <row r="650" spans="2:11" x14ac:dyDescent="0.25">
      <c r="B650" s="1">
        <v>45913</v>
      </c>
      <c r="C650" t="s">
        <v>68</v>
      </c>
      <c r="E650" t="s">
        <v>20</v>
      </c>
      <c r="F650">
        <v>59727.94</v>
      </c>
      <c r="G650" t="s">
        <v>91</v>
      </c>
      <c r="H650">
        <f t="shared" si="36"/>
        <v>4.6063819999999982</v>
      </c>
      <c r="I650">
        <v>41</v>
      </c>
      <c r="J650">
        <f t="shared" si="34"/>
        <v>188.86166199999994</v>
      </c>
      <c r="K650">
        <f t="shared" si="35"/>
        <v>188.86166199999994</v>
      </c>
    </row>
    <row r="651" spans="2:11" x14ac:dyDescent="0.25">
      <c r="B651" s="1">
        <v>45913</v>
      </c>
      <c r="C651" t="s">
        <v>68</v>
      </c>
      <c r="E651" t="s">
        <v>63</v>
      </c>
      <c r="F651">
        <v>45743.7</v>
      </c>
      <c r="G651" t="s">
        <v>91</v>
      </c>
      <c r="H651">
        <f t="shared" si="36"/>
        <v>0.41110999999999898</v>
      </c>
      <c r="I651">
        <v>41</v>
      </c>
      <c r="J651">
        <f t="shared" si="34"/>
        <v>16.85550999999996</v>
      </c>
      <c r="K651">
        <f t="shared" si="35"/>
        <v>16.85550999999996</v>
      </c>
    </row>
    <row r="652" spans="2:11" x14ac:dyDescent="0.25">
      <c r="B652" s="1">
        <v>45913</v>
      </c>
      <c r="C652" t="s">
        <v>68</v>
      </c>
      <c r="E652" t="s">
        <v>21</v>
      </c>
      <c r="F652">
        <v>43380.85</v>
      </c>
      <c r="G652" t="s">
        <v>91</v>
      </c>
      <c r="H652">
        <f t="shared" si="36"/>
        <v>-0.29774500000000081</v>
      </c>
      <c r="I652">
        <v>41</v>
      </c>
      <c r="J652">
        <f t="shared" si="34"/>
        <v>-12.207545000000033</v>
      </c>
      <c r="K652">
        <f t="shared" si="35"/>
        <v>0</v>
      </c>
    </row>
    <row r="653" spans="2:11" x14ac:dyDescent="0.25">
      <c r="B653" s="1">
        <v>45913</v>
      </c>
      <c r="C653" t="s">
        <v>68</v>
      </c>
      <c r="E653" t="s">
        <v>22</v>
      </c>
      <c r="F653">
        <v>40066.550000000003</v>
      </c>
      <c r="G653" t="s">
        <v>91</v>
      </c>
      <c r="H653">
        <f t="shared" si="36"/>
        <v>-1.2920350000000003</v>
      </c>
      <c r="I653">
        <v>41</v>
      </c>
      <c r="J653">
        <f t="shared" si="34"/>
        <v>-52.973435000000009</v>
      </c>
      <c r="K653">
        <f t="shared" si="35"/>
        <v>0</v>
      </c>
    </row>
    <row r="654" spans="2:11" x14ac:dyDescent="0.25">
      <c r="B654" s="1">
        <v>45913</v>
      </c>
      <c r="C654" t="s">
        <v>68</v>
      </c>
      <c r="E654" t="s">
        <v>23</v>
      </c>
      <c r="F654">
        <v>59153.78</v>
      </c>
      <c r="G654" t="s">
        <v>91</v>
      </c>
      <c r="H654">
        <f t="shared" si="36"/>
        <v>4.4341339999999985</v>
      </c>
      <c r="I654">
        <v>41</v>
      </c>
      <c r="J654">
        <f t="shared" si="34"/>
        <v>181.79949399999992</v>
      </c>
      <c r="K654">
        <f t="shared" si="35"/>
        <v>181.79949399999992</v>
      </c>
    </row>
    <row r="655" spans="2:11" x14ac:dyDescent="0.25">
      <c r="B655" s="1">
        <v>45913</v>
      </c>
      <c r="C655" t="s">
        <v>68</v>
      </c>
      <c r="E655" t="s">
        <v>64</v>
      </c>
      <c r="F655">
        <v>61253.23</v>
      </c>
      <c r="G655" t="s">
        <v>91</v>
      </c>
      <c r="H655">
        <f t="shared" si="36"/>
        <v>5.0639689999999984</v>
      </c>
      <c r="I655">
        <v>41</v>
      </c>
      <c r="J655">
        <f t="shared" si="34"/>
        <v>207.62272899999994</v>
      </c>
      <c r="K655">
        <f t="shared" si="35"/>
        <v>207.62272899999994</v>
      </c>
    </row>
    <row r="656" spans="2:11" x14ac:dyDescent="0.25">
      <c r="B656" s="1">
        <v>45913</v>
      </c>
      <c r="C656" t="s">
        <v>68</v>
      </c>
      <c r="E656" t="s">
        <v>24</v>
      </c>
      <c r="F656">
        <v>484614.72</v>
      </c>
      <c r="G656" t="s">
        <v>91</v>
      </c>
      <c r="H656">
        <f t="shared" si="36"/>
        <v>132.07241599999998</v>
      </c>
      <c r="I656">
        <v>41</v>
      </c>
      <c r="J656">
        <f t="shared" si="34"/>
        <v>5414.969055999999</v>
      </c>
      <c r="K656">
        <f t="shared" si="35"/>
        <v>5414.969055999999</v>
      </c>
    </row>
    <row r="657" spans="2:11" x14ac:dyDescent="0.25">
      <c r="B657" s="1">
        <v>45913</v>
      </c>
      <c r="C657" t="s">
        <v>68</v>
      </c>
      <c r="E657" t="s">
        <v>25</v>
      </c>
      <c r="F657">
        <v>62869.17</v>
      </c>
      <c r="G657" t="s">
        <v>91</v>
      </c>
      <c r="H657">
        <f t="shared" si="36"/>
        <v>5.5487509999999975</v>
      </c>
      <c r="I657">
        <v>41</v>
      </c>
      <c r="J657">
        <f t="shared" si="34"/>
        <v>227.4987909999999</v>
      </c>
      <c r="K657">
        <f t="shared" si="35"/>
        <v>227.4987909999999</v>
      </c>
    </row>
    <row r="658" spans="2:11" x14ac:dyDescent="0.25">
      <c r="B658" s="1">
        <v>45913</v>
      </c>
      <c r="C658" t="s">
        <v>68</v>
      </c>
      <c r="E658" t="s">
        <v>26</v>
      </c>
      <c r="F658">
        <v>38749.07</v>
      </c>
      <c r="G658" t="s">
        <v>91</v>
      </c>
      <c r="H658">
        <f t="shared" si="36"/>
        <v>-1.6872790000000002</v>
      </c>
      <c r="I658">
        <v>41</v>
      </c>
      <c r="J658">
        <f t="shared" si="34"/>
        <v>-69.178439000000012</v>
      </c>
      <c r="K658">
        <f t="shared" si="35"/>
        <v>0</v>
      </c>
    </row>
    <row r="659" spans="2:11" x14ac:dyDescent="0.25">
      <c r="B659" s="1">
        <v>45913</v>
      </c>
      <c r="C659" t="s">
        <v>68</v>
      </c>
      <c r="E659" t="s">
        <v>65</v>
      </c>
      <c r="F659">
        <v>45692.29</v>
      </c>
      <c r="G659" t="s">
        <v>91</v>
      </c>
      <c r="H659">
        <f t="shared" si="36"/>
        <v>0.39568699999999879</v>
      </c>
      <c r="I659">
        <v>41</v>
      </c>
      <c r="J659">
        <f t="shared" si="34"/>
        <v>16.22316699999995</v>
      </c>
      <c r="K659">
        <f t="shared" si="35"/>
        <v>16.22316699999995</v>
      </c>
    </row>
    <row r="660" spans="2:11" x14ac:dyDescent="0.25">
      <c r="B660" s="1">
        <v>45913</v>
      </c>
      <c r="C660" t="s">
        <v>68</v>
      </c>
      <c r="E660" t="s">
        <v>27</v>
      </c>
      <c r="F660">
        <v>54594.98</v>
      </c>
      <c r="G660" t="s">
        <v>91</v>
      </c>
      <c r="H660">
        <f t="shared" si="36"/>
        <v>3.0664940000000005</v>
      </c>
      <c r="I660">
        <v>41</v>
      </c>
      <c r="J660">
        <f t="shared" si="34"/>
        <v>125.72625400000003</v>
      </c>
      <c r="K660">
        <f t="shared" si="35"/>
        <v>125.72625400000003</v>
      </c>
    </row>
    <row r="661" spans="2:11" x14ac:dyDescent="0.25">
      <c r="B661" s="1">
        <v>45913</v>
      </c>
      <c r="C661" t="s">
        <v>68</v>
      </c>
      <c r="E661" t="s">
        <v>28</v>
      </c>
      <c r="F661">
        <v>59345.120000000003</v>
      </c>
      <c r="G661" t="s">
        <v>91</v>
      </c>
      <c r="H661">
        <f t="shared" si="36"/>
        <v>4.4915359999999982</v>
      </c>
      <c r="I661">
        <v>41</v>
      </c>
      <c r="J661">
        <f t="shared" si="34"/>
        <v>184.15297599999994</v>
      </c>
      <c r="K661">
        <f t="shared" si="35"/>
        <v>184.15297599999994</v>
      </c>
    </row>
    <row r="662" spans="2:11" x14ac:dyDescent="0.25">
      <c r="B662" s="1">
        <v>45913</v>
      </c>
      <c r="C662" t="s">
        <v>68</v>
      </c>
      <c r="E662" t="s">
        <v>29</v>
      </c>
      <c r="F662">
        <v>41697.980000000003</v>
      </c>
      <c r="G662" t="s">
        <v>91</v>
      </c>
      <c r="H662">
        <f t="shared" si="36"/>
        <v>-0.80260599999999904</v>
      </c>
      <c r="I662">
        <v>41</v>
      </c>
      <c r="J662">
        <f t="shared" si="34"/>
        <v>-32.906845999999959</v>
      </c>
      <c r="K662">
        <f t="shared" si="35"/>
        <v>0</v>
      </c>
    </row>
    <row r="663" spans="2:11" x14ac:dyDescent="0.25">
      <c r="B663" s="1">
        <v>45913</v>
      </c>
      <c r="C663" t="s">
        <v>68</v>
      </c>
      <c r="E663" t="s">
        <v>66</v>
      </c>
      <c r="F663">
        <v>61092.31</v>
      </c>
      <c r="G663" t="s">
        <v>91</v>
      </c>
      <c r="H663">
        <f t="shared" si="36"/>
        <v>5.0156929999999971</v>
      </c>
      <c r="I663">
        <v>41</v>
      </c>
      <c r="J663">
        <f t="shared" si="34"/>
        <v>205.64341299999987</v>
      </c>
      <c r="K663">
        <f t="shared" si="35"/>
        <v>205.64341299999987</v>
      </c>
    </row>
    <row r="664" spans="2:11" x14ac:dyDescent="0.25">
      <c r="B664" s="1">
        <v>45913</v>
      </c>
      <c r="C664" t="s">
        <v>68</v>
      </c>
      <c r="D664" t="s">
        <v>67</v>
      </c>
      <c r="E664">
        <v>1</v>
      </c>
      <c r="F664">
        <v>47734.38</v>
      </c>
      <c r="G664" t="s">
        <v>91</v>
      </c>
      <c r="H664">
        <f t="shared" si="36"/>
        <v>1.0083139999999986</v>
      </c>
      <c r="I664">
        <v>1</v>
      </c>
      <c r="J664">
        <f t="shared" si="34"/>
        <v>1.0083139999999986</v>
      </c>
      <c r="K664">
        <f t="shared" si="35"/>
        <v>1.0083139999999986</v>
      </c>
    </row>
    <row r="665" spans="2:11" x14ac:dyDescent="0.25">
      <c r="B665" s="1">
        <v>45913</v>
      </c>
      <c r="C665" t="s">
        <v>68</v>
      </c>
      <c r="D665" t="s">
        <v>67</v>
      </c>
      <c r="E665">
        <v>2</v>
      </c>
      <c r="F665">
        <v>49945.29</v>
      </c>
      <c r="G665" t="s">
        <v>91</v>
      </c>
      <c r="H665">
        <f t="shared" si="36"/>
        <v>1.6715869999999988</v>
      </c>
      <c r="I665">
        <v>1</v>
      </c>
      <c r="J665">
        <f t="shared" si="34"/>
        <v>1.6715869999999988</v>
      </c>
      <c r="K665">
        <f t="shared" si="35"/>
        <v>1.6715869999999988</v>
      </c>
    </row>
    <row r="666" spans="2:11" x14ac:dyDescent="0.25">
      <c r="B666" s="1">
        <v>45913</v>
      </c>
      <c r="C666" t="s">
        <v>68</v>
      </c>
      <c r="D666" t="s">
        <v>67</v>
      </c>
      <c r="E666">
        <v>3</v>
      </c>
      <c r="F666">
        <v>42067.519999999997</v>
      </c>
      <c r="G666" t="s">
        <v>91</v>
      </c>
      <c r="H666">
        <f t="shared" si="36"/>
        <v>-0.69174400000000169</v>
      </c>
      <c r="I666">
        <v>1</v>
      </c>
      <c r="J666">
        <f t="shared" si="34"/>
        <v>-0.69174400000000169</v>
      </c>
      <c r="K666">
        <f t="shared" si="35"/>
        <v>0</v>
      </c>
    </row>
    <row r="667" spans="2:11" x14ac:dyDescent="0.25">
      <c r="B667" s="1">
        <v>45913</v>
      </c>
      <c r="C667" t="s">
        <v>60</v>
      </c>
      <c r="E667" t="s">
        <v>13</v>
      </c>
      <c r="F667">
        <v>44237.87</v>
      </c>
      <c r="G667" t="s">
        <v>91</v>
      </c>
      <c r="H667">
        <f t="shared" si="36"/>
        <v>-4.0639000000000536E-2</v>
      </c>
      <c r="I667">
        <v>41</v>
      </c>
      <c r="J667">
        <f t="shared" si="34"/>
        <v>-1.666199000000022</v>
      </c>
      <c r="K667">
        <f t="shared" si="35"/>
        <v>0</v>
      </c>
    </row>
    <row r="668" spans="2:11" x14ac:dyDescent="0.25">
      <c r="B668" s="1">
        <v>45913</v>
      </c>
      <c r="C668" t="s">
        <v>60</v>
      </c>
      <c r="E668" t="s">
        <v>14</v>
      </c>
      <c r="F668">
        <v>45534.19</v>
      </c>
      <c r="G668" t="s">
        <v>91</v>
      </c>
      <c r="H668">
        <f t="shared" si="36"/>
        <v>0.34825700000000026</v>
      </c>
      <c r="I668">
        <v>41</v>
      </c>
      <c r="J668">
        <f t="shared" si="34"/>
        <v>14.278537000000011</v>
      </c>
      <c r="K668">
        <f t="shared" si="35"/>
        <v>14.278537000000011</v>
      </c>
    </row>
    <row r="669" spans="2:11" x14ac:dyDescent="0.25">
      <c r="B669" s="1">
        <v>45913</v>
      </c>
      <c r="C669" t="s">
        <v>60</v>
      </c>
      <c r="E669" t="s">
        <v>15</v>
      </c>
      <c r="F669">
        <v>44583.4</v>
      </c>
      <c r="G669" t="s">
        <v>91</v>
      </c>
      <c r="H669">
        <f t="shared" si="36"/>
        <v>6.3019999999999854E-2</v>
      </c>
      <c r="I669">
        <v>41</v>
      </c>
      <c r="J669">
        <f t="shared" si="34"/>
        <v>2.583819999999994</v>
      </c>
      <c r="K669">
        <f t="shared" si="35"/>
        <v>2.583819999999994</v>
      </c>
    </row>
    <row r="670" spans="2:11" x14ac:dyDescent="0.25">
      <c r="B670" s="1">
        <v>45913</v>
      </c>
      <c r="C670" t="s">
        <v>60</v>
      </c>
      <c r="E670" t="s">
        <v>61</v>
      </c>
      <c r="F670">
        <v>48594.239999999998</v>
      </c>
      <c r="G670" t="s">
        <v>91</v>
      </c>
      <c r="H670">
        <f t="shared" si="36"/>
        <v>1.266271999999999</v>
      </c>
      <c r="I670">
        <v>41</v>
      </c>
      <c r="J670">
        <f t="shared" si="34"/>
        <v>51.917151999999959</v>
      </c>
      <c r="K670">
        <f t="shared" si="35"/>
        <v>51.917151999999959</v>
      </c>
    </row>
    <row r="671" spans="2:11" x14ac:dyDescent="0.25">
      <c r="B671" s="1">
        <v>45913</v>
      </c>
      <c r="C671" t="s">
        <v>60</v>
      </c>
      <c r="E671" t="s">
        <v>16</v>
      </c>
      <c r="F671">
        <v>42712.55</v>
      </c>
      <c r="G671" t="s">
        <v>91</v>
      </c>
      <c r="H671">
        <f t="shared" si="36"/>
        <v>-0.49823499999999932</v>
      </c>
      <c r="I671">
        <v>41</v>
      </c>
      <c r="J671">
        <f t="shared" si="34"/>
        <v>-20.427634999999974</v>
      </c>
      <c r="K671">
        <f t="shared" si="35"/>
        <v>0</v>
      </c>
    </row>
    <row r="672" spans="2:11" x14ac:dyDescent="0.25">
      <c r="B672" s="1">
        <v>45913</v>
      </c>
      <c r="C672" t="s">
        <v>60</v>
      </c>
      <c r="E672" t="s">
        <v>17</v>
      </c>
      <c r="F672">
        <v>47274.12</v>
      </c>
      <c r="G672" t="s">
        <v>91</v>
      </c>
      <c r="H672">
        <f t="shared" si="36"/>
        <v>0.87023600000000023</v>
      </c>
      <c r="I672">
        <v>41</v>
      </c>
      <c r="J672">
        <f t="shared" si="34"/>
        <v>35.679676000000008</v>
      </c>
      <c r="K672">
        <f t="shared" si="35"/>
        <v>35.679676000000008</v>
      </c>
    </row>
    <row r="673" spans="2:11" x14ac:dyDescent="0.25">
      <c r="B673" s="1">
        <v>45913</v>
      </c>
      <c r="C673" t="s">
        <v>60</v>
      </c>
      <c r="E673" t="s">
        <v>12</v>
      </c>
      <c r="F673">
        <v>52701.66</v>
      </c>
      <c r="G673" t="s">
        <v>91</v>
      </c>
      <c r="H673">
        <f t="shared" si="36"/>
        <v>2.4984979999999997</v>
      </c>
      <c r="I673">
        <v>41</v>
      </c>
      <c r="J673">
        <f t="shared" si="34"/>
        <v>102.43841799999998</v>
      </c>
      <c r="K673">
        <f t="shared" si="35"/>
        <v>102.43841799999998</v>
      </c>
    </row>
    <row r="674" spans="2:11" x14ac:dyDescent="0.25">
      <c r="B674" s="1">
        <v>45913</v>
      </c>
      <c r="C674" t="s">
        <v>60</v>
      </c>
      <c r="E674" t="s">
        <v>62</v>
      </c>
      <c r="F674">
        <v>43166.37</v>
      </c>
      <c r="G674" t="s">
        <v>91</v>
      </c>
      <c r="H674">
        <f t="shared" si="36"/>
        <v>-0.36208899999999922</v>
      </c>
      <c r="I674">
        <v>41</v>
      </c>
      <c r="J674">
        <f t="shared" si="34"/>
        <v>-14.845648999999968</v>
      </c>
      <c r="K674">
        <f t="shared" si="35"/>
        <v>0</v>
      </c>
    </row>
    <row r="675" spans="2:11" x14ac:dyDescent="0.25">
      <c r="B675" s="1">
        <v>45913</v>
      </c>
      <c r="C675" t="s">
        <v>60</v>
      </c>
      <c r="E675" t="s">
        <v>18</v>
      </c>
      <c r="F675">
        <v>41153.9</v>
      </c>
      <c r="G675" t="s">
        <v>91</v>
      </c>
      <c r="H675">
        <f t="shared" si="36"/>
        <v>-0.96583000000000041</v>
      </c>
      <c r="I675">
        <v>41</v>
      </c>
      <c r="J675">
        <f t="shared" si="34"/>
        <v>-39.599030000000013</v>
      </c>
      <c r="K675">
        <f t="shared" si="35"/>
        <v>0</v>
      </c>
    </row>
    <row r="676" spans="2:11" x14ac:dyDescent="0.25">
      <c r="B676" s="1">
        <v>45913</v>
      </c>
      <c r="C676" t="s">
        <v>60</v>
      </c>
      <c r="E676" t="s">
        <v>19</v>
      </c>
      <c r="F676">
        <v>44912.65</v>
      </c>
      <c r="G676" t="s">
        <v>91</v>
      </c>
      <c r="H676">
        <f t="shared" si="36"/>
        <v>0.16179499999999969</v>
      </c>
      <c r="I676">
        <v>41</v>
      </c>
      <c r="J676">
        <f t="shared" si="34"/>
        <v>6.6335949999999873</v>
      </c>
      <c r="K676">
        <f t="shared" si="35"/>
        <v>6.6335949999999873</v>
      </c>
    </row>
    <row r="677" spans="2:11" x14ac:dyDescent="0.25">
      <c r="B677" s="1">
        <v>45913</v>
      </c>
      <c r="C677" t="s">
        <v>60</v>
      </c>
      <c r="E677" t="s">
        <v>20</v>
      </c>
      <c r="F677">
        <v>40599.839999999997</v>
      </c>
      <c r="G677" t="s">
        <v>91</v>
      </c>
      <c r="H677">
        <f t="shared" si="36"/>
        <v>-1.1320480000000011</v>
      </c>
      <c r="I677">
        <v>41</v>
      </c>
      <c r="J677">
        <f t="shared" si="34"/>
        <v>-46.41396800000004</v>
      </c>
      <c r="K677">
        <f t="shared" si="35"/>
        <v>0</v>
      </c>
    </row>
    <row r="678" spans="2:11" x14ac:dyDescent="0.25">
      <c r="B678" s="1">
        <v>45913</v>
      </c>
      <c r="C678" t="s">
        <v>60</v>
      </c>
      <c r="E678" t="s">
        <v>63</v>
      </c>
      <c r="F678">
        <v>5512.58</v>
      </c>
      <c r="G678" t="s">
        <v>91</v>
      </c>
      <c r="H678">
        <f t="shared" si="36"/>
        <v>-11.658225999999999</v>
      </c>
      <c r="I678">
        <v>41</v>
      </c>
      <c r="J678">
        <f t="shared" si="34"/>
        <v>-477.98726599999998</v>
      </c>
      <c r="K678">
        <f t="shared" si="35"/>
        <v>0</v>
      </c>
    </row>
    <row r="679" spans="2:11" x14ac:dyDescent="0.25">
      <c r="B679" s="1">
        <v>45913</v>
      </c>
      <c r="C679" t="s">
        <v>60</v>
      </c>
      <c r="E679" t="s">
        <v>21</v>
      </c>
      <c r="F679">
        <v>55649.86</v>
      </c>
      <c r="G679" t="s">
        <v>91</v>
      </c>
      <c r="H679">
        <f t="shared" si="36"/>
        <v>3.3829580000000004</v>
      </c>
      <c r="I679">
        <v>41</v>
      </c>
      <c r="J679">
        <f t="shared" si="34"/>
        <v>138.701278</v>
      </c>
      <c r="K679">
        <f t="shared" si="35"/>
        <v>138.701278</v>
      </c>
    </row>
    <row r="680" spans="2:11" x14ac:dyDescent="0.25">
      <c r="B680" s="1">
        <v>45913</v>
      </c>
      <c r="C680" t="s">
        <v>60</v>
      </c>
      <c r="E680" t="s">
        <v>22</v>
      </c>
      <c r="F680">
        <v>61811.57</v>
      </c>
      <c r="G680" t="s">
        <v>91</v>
      </c>
      <c r="H680">
        <f t="shared" si="36"/>
        <v>5.2314709999999973</v>
      </c>
      <c r="I680">
        <v>41</v>
      </c>
      <c r="J680">
        <f t="shared" si="34"/>
        <v>214.49031099999988</v>
      </c>
      <c r="K680">
        <f t="shared" si="35"/>
        <v>214.49031099999988</v>
      </c>
    </row>
    <row r="681" spans="2:11" x14ac:dyDescent="0.25">
      <c r="B681" s="1">
        <v>45913</v>
      </c>
      <c r="C681" t="s">
        <v>60</v>
      </c>
      <c r="E681" t="s">
        <v>23</v>
      </c>
      <c r="F681">
        <v>36345.589999999997</v>
      </c>
      <c r="G681" t="s">
        <v>91</v>
      </c>
      <c r="H681">
        <f t="shared" si="36"/>
        <v>-2.4083230000000011</v>
      </c>
      <c r="I681">
        <v>41</v>
      </c>
      <c r="J681">
        <f t="shared" si="34"/>
        <v>-98.74124300000004</v>
      </c>
      <c r="K681">
        <f t="shared" si="35"/>
        <v>0</v>
      </c>
    </row>
    <row r="682" spans="2:11" x14ac:dyDescent="0.25">
      <c r="B682" s="1">
        <v>45913</v>
      </c>
      <c r="C682" t="s">
        <v>60</v>
      </c>
      <c r="E682" t="s">
        <v>64</v>
      </c>
      <c r="F682">
        <v>67427.039999999994</v>
      </c>
      <c r="G682" t="s">
        <v>91</v>
      </c>
      <c r="H682">
        <f t="shared" si="36"/>
        <v>6.9161119999999965</v>
      </c>
      <c r="I682">
        <v>41</v>
      </c>
      <c r="J682">
        <f t="shared" si="34"/>
        <v>283.56059199999987</v>
      </c>
      <c r="K682">
        <f t="shared" si="35"/>
        <v>283.56059199999987</v>
      </c>
    </row>
    <row r="683" spans="2:11" x14ac:dyDescent="0.25">
      <c r="B683" s="1">
        <v>45913</v>
      </c>
      <c r="C683" t="s">
        <v>60</v>
      </c>
      <c r="E683" t="s">
        <v>24</v>
      </c>
      <c r="F683">
        <v>41616.89</v>
      </c>
      <c r="G683" t="s">
        <v>91</v>
      </c>
      <c r="H683">
        <f t="shared" si="36"/>
        <v>-0.82693300000000036</v>
      </c>
      <c r="I683">
        <v>41</v>
      </c>
      <c r="J683">
        <f t="shared" si="34"/>
        <v>-33.904253000000011</v>
      </c>
      <c r="K683">
        <f t="shared" si="35"/>
        <v>0</v>
      </c>
    </row>
    <row r="684" spans="2:11" x14ac:dyDescent="0.25">
      <c r="B684" s="1">
        <v>45913</v>
      </c>
      <c r="C684" t="s">
        <v>60</v>
      </c>
      <c r="E684" t="s">
        <v>25</v>
      </c>
      <c r="F684">
        <v>37076.74</v>
      </c>
      <c r="G684" t="s">
        <v>91</v>
      </c>
      <c r="H684">
        <f t="shared" si="36"/>
        <v>-2.1889780000000005</v>
      </c>
      <c r="I684">
        <v>41</v>
      </c>
      <c r="J684">
        <f t="shared" si="34"/>
        <v>-89.748098000000027</v>
      </c>
      <c r="K684">
        <f t="shared" si="35"/>
        <v>0</v>
      </c>
    </row>
    <row r="685" spans="2:11" x14ac:dyDescent="0.25">
      <c r="B685" s="1">
        <v>45913</v>
      </c>
      <c r="C685" t="s">
        <v>60</v>
      </c>
      <c r="E685" t="s">
        <v>26</v>
      </c>
      <c r="F685">
        <v>42298.33</v>
      </c>
      <c r="G685" t="s">
        <v>91</v>
      </c>
      <c r="H685">
        <f t="shared" si="36"/>
        <v>-0.62250099999999975</v>
      </c>
      <c r="I685">
        <v>41</v>
      </c>
      <c r="J685">
        <f t="shared" si="34"/>
        <v>-25.52254099999999</v>
      </c>
      <c r="K685">
        <f t="shared" si="35"/>
        <v>0</v>
      </c>
    </row>
    <row r="686" spans="2:11" x14ac:dyDescent="0.25">
      <c r="B686" s="1">
        <v>45913</v>
      </c>
      <c r="C686" t="s">
        <v>60</v>
      </c>
      <c r="E686" t="s">
        <v>65</v>
      </c>
      <c r="F686">
        <v>51020.639999999999</v>
      </c>
      <c r="G686" t="s">
        <v>91</v>
      </c>
      <c r="H686">
        <f t="shared" si="36"/>
        <v>1.994192</v>
      </c>
      <c r="I686">
        <v>41</v>
      </c>
      <c r="J686">
        <f t="shared" si="34"/>
        <v>81.761871999999997</v>
      </c>
      <c r="K686">
        <f t="shared" si="35"/>
        <v>81.761871999999997</v>
      </c>
    </row>
    <row r="687" spans="2:11" x14ac:dyDescent="0.25">
      <c r="B687" s="1">
        <v>45913</v>
      </c>
      <c r="C687" t="s">
        <v>60</v>
      </c>
      <c r="E687" t="s">
        <v>27</v>
      </c>
      <c r="F687">
        <v>46141.39</v>
      </c>
      <c r="G687" t="s">
        <v>91</v>
      </c>
      <c r="H687">
        <f t="shared" si="36"/>
        <v>0.53041699999999992</v>
      </c>
      <c r="I687">
        <v>41</v>
      </c>
      <c r="J687">
        <f t="shared" ref="J687:J747" si="37">H687*I687</f>
        <v>21.747096999999997</v>
      </c>
      <c r="K687">
        <f t="shared" ref="K687:K747" si="38">MAX(J687,0)</f>
        <v>21.747096999999997</v>
      </c>
    </row>
    <row r="688" spans="2:11" x14ac:dyDescent="0.25">
      <c r="B688" s="1">
        <v>45913</v>
      </c>
      <c r="C688" t="s">
        <v>60</v>
      </c>
      <c r="E688" t="s">
        <v>28</v>
      </c>
      <c r="F688">
        <v>49002.43</v>
      </c>
      <c r="G688" t="s">
        <v>91</v>
      </c>
      <c r="H688">
        <f t="shared" ref="H688:H747" si="39">(0.0003*F688)-13.312</f>
        <v>1.3887289999999997</v>
      </c>
      <c r="I688">
        <v>41</v>
      </c>
      <c r="J688">
        <f t="shared" si="37"/>
        <v>56.937888999999984</v>
      </c>
      <c r="K688">
        <f t="shared" si="38"/>
        <v>56.937888999999984</v>
      </c>
    </row>
    <row r="689" spans="2:11" x14ac:dyDescent="0.25">
      <c r="B689" s="1">
        <v>45913</v>
      </c>
      <c r="C689" t="s">
        <v>60</v>
      </c>
      <c r="E689" t="s">
        <v>29</v>
      </c>
      <c r="F689">
        <v>44031.48</v>
      </c>
      <c r="G689" t="s">
        <v>91</v>
      </c>
      <c r="H689">
        <f t="shared" si="39"/>
        <v>-0.10255599999999987</v>
      </c>
      <c r="I689">
        <v>41</v>
      </c>
      <c r="J689">
        <f t="shared" si="37"/>
        <v>-4.2047959999999946</v>
      </c>
      <c r="K689">
        <f t="shared" si="38"/>
        <v>0</v>
      </c>
    </row>
    <row r="690" spans="2:11" x14ac:dyDescent="0.25">
      <c r="B690" s="1">
        <v>45913</v>
      </c>
      <c r="C690" t="s">
        <v>60</v>
      </c>
      <c r="E690" t="s">
        <v>66</v>
      </c>
      <c r="F690">
        <v>33643.379999999997</v>
      </c>
      <c r="G690" t="s">
        <v>91</v>
      </c>
      <c r="H690">
        <f t="shared" si="39"/>
        <v>-3.218986000000001</v>
      </c>
      <c r="I690">
        <v>41</v>
      </c>
      <c r="J690">
        <f t="shared" si="37"/>
        <v>-131.97842600000004</v>
      </c>
      <c r="K690">
        <f t="shared" si="38"/>
        <v>0</v>
      </c>
    </row>
    <row r="691" spans="2:11" x14ac:dyDescent="0.25">
      <c r="B691" s="1">
        <v>45913</v>
      </c>
      <c r="C691" t="s">
        <v>60</v>
      </c>
      <c r="D691" t="s">
        <v>67</v>
      </c>
      <c r="E691">
        <v>1</v>
      </c>
      <c r="F691">
        <v>50915.51</v>
      </c>
      <c r="G691" t="s">
        <v>91</v>
      </c>
      <c r="H691">
        <f t="shared" si="39"/>
        <v>1.9626529999999995</v>
      </c>
      <c r="I691">
        <v>1</v>
      </c>
      <c r="J691">
        <f t="shared" si="37"/>
        <v>1.9626529999999995</v>
      </c>
      <c r="K691">
        <f t="shared" si="38"/>
        <v>1.9626529999999995</v>
      </c>
    </row>
    <row r="692" spans="2:11" x14ac:dyDescent="0.25">
      <c r="B692" s="1">
        <v>45913</v>
      </c>
      <c r="C692" t="s">
        <v>60</v>
      </c>
      <c r="D692" t="s">
        <v>67</v>
      </c>
      <c r="E692">
        <v>2</v>
      </c>
      <c r="F692">
        <v>55635.86</v>
      </c>
      <c r="G692" t="s">
        <v>91</v>
      </c>
      <c r="H692">
        <f t="shared" si="39"/>
        <v>3.3787579999999995</v>
      </c>
      <c r="I692">
        <v>1</v>
      </c>
      <c r="J692">
        <f t="shared" si="37"/>
        <v>3.3787579999999995</v>
      </c>
      <c r="K692">
        <f t="shared" si="38"/>
        <v>3.3787579999999995</v>
      </c>
    </row>
    <row r="693" spans="2:11" x14ac:dyDescent="0.25">
      <c r="B693" s="1">
        <v>45913</v>
      </c>
      <c r="C693" t="s">
        <v>60</v>
      </c>
      <c r="D693" t="s">
        <v>67</v>
      </c>
      <c r="E693">
        <v>3</v>
      </c>
      <c r="F693">
        <v>46458.1</v>
      </c>
      <c r="G693" t="s">
        <v>91</v>
      </c>
      <c r="H693">
        <f t="shared" si="39"/>
        <v>0.62542999999999971</v>
      </c>
      <c r="I693">
        <v>1</v>
      </c>
      <c r="J693">
        <f t="shared" si="37"/>
        <v>0.62542999999999971</v>
      </c>
      <c r="K693">
        <f t="shared" si="38"/>
        <v>0.62542999999999971</v>
      </c>
    </row>
    <row r="694" spans="2:11" x14ac:dyDescent="0.25">
      <c r="B694" s="1">
        <v>45912</v>
      </c>
      <c r="C694" t="s">
        <v>70</v>
      </c>
      <c r="E694" t="s">
        <v>13</v>
      </c>
      <c r="F694">
        <v>47847.21</v>
      </c>
      <c r="G694" t="s">
        <v>91</v>
      </c>
      <c r="H694">
        <f t="shared" si="39"/>
        <v>1.0421629999999986</v>
      </c>
      <c r="I694">
        <v>41</v>
      </c>
      <c r="J694">
        <f t="shared" si="37"/>
        <v>42.728682999999947</v>
      </c>
      <c r="K694">
        <f t="shared" si="38"/>
        <v>42.728682999999947</v>
      </c>
    </row>
    <row r="695" spans="2:11" x14ac:dyDescent="0.25">
      <c r="B695" s="1">
        <v>45912</v>
      </c>
      <c r="C695" t="s">
        <v>70</v>
      </c>
      <c r="E695" t="s">
        <v>14</v>
      </c>
      <c r="F695">
        <v>42452.25</v>
      </c>
      <c r="G695" t="s">
        <v>91</v>
      </c>
      <c r="H695">
        <f t="shared" si="39"/>
        <v>-0.57632500000000064</v>
      </c>
      <c r="I695">
        <v>41</v>
      </c>
      <c r="J695">
        <f t="shared" si="37"/>
        <v>-23.629325000000026</v>
      </c>
      <c r="K695">
        <f t="shared" si="38"/>
        <v>0</v>
      </c>
    </row>
    <row r="696" spans="2:11" x14ac:dyDescent="0.25">
      <c r="B696" s="1">
        <v>45912</v>
      </c>
      <c r="C696" t="s">
        <v>70</v>
      </c>
      <c r="E696" t="s">
        <v>15</v>
      </c>
      <c r="F696">
        <v>37450.5</v>
      </c>
      <c r="G696" t="s">
        <v>91</v>
      </c>
      <c r="H696">
        <f t="shared" si="39"/>
        <v>-2.0768500000000003</v>
      </c>
      <c r="I696">
        <v>41</v>
      </c>
      <c r="J696">
        <f t="shared" si="37"/>
        <v>-85.15085000000002</v>
      </c>
      <c r="K696">
        <f t="shared" si="38"/>
        <v>0</v>
      </c>
    </row>
    <row r="697" spans="2:11" x14ac:dyDescent="0.25">
      <c r="B697" s="1">
        <v>45912</v>
      </c>
      <c r="C697" t="s">
        <v>70</v>
      </c>
      <c r="E697" t="s">
        <v>61</v>
      </c>
      <c r="F697">
        <v>53452.91</v>
      </c>
      <c r="G697" t="s">
        <v>91</v>
      </c>
      <c r="H697">
        <f t="shared" si="39"/>
        <v>2.7238729999999993</v>
      </c>
      <c r="I697">
        <v>41</v>
      </c>
      <c r="J697">
        <f t="shared" si="37"/>
        <v>111.67879299999997</v>
      </c>
      <c r="K697">
        <f t="shared" si="38"/>
        <v>111.67879299999997</v>
      </c>
    </row>
    <row r="698" spans="2:11" x14ac:dyDescent="0.25">
      <c r="B698" s="1">
        <v>45912</v>
      </c>
      <c r="C698" t="s">
        <v>70</v>
      </c>
      <c r="E698" t="s">
        <v>16</v>
      </c>
      <c r="F698">
        <v>47458.39</v>
      </c>
      <c r="G698" t="s">
        <v>91</v>
      </c>
      <c r="H698">
        <f t="shared" si="39"/>
        <v>0.92551699999999926</v>
      </c>
      <c r="I698">
        <v>41</v>
      </c>
      <c r="J698">
        <f t="shared" si="37"/>
        <v>37.94619699999997</v>
      </c>
      <c r="K698">
        <f t="shared" si="38"/>
        <v>37.94619699999997</v>
      </c>
    </row>
    <row r="699" spans="2:11" x14ac:dyDescent="0.25">
      <c r="B699" s="1">
        <v>45912</v>
      </c>
      <c r="C699" t="s">
        <v>70</v>
      </c>
      <c r="E699" t="s">
        <v>17</v>
      </c>
      <c r="F699">
        <v>52494.66</v>
      </c>
      <c r="G699" t="s">
        <v>91</v>
      </c>
      <c r="H699">
        <f t="shared" si="39"/>
        <v>2.4363980000000005</v>
      </c>
      <c r="I699">
        <v>41</v>
      </c>
      <c r="J699">
        <f t="shared" si="37"/>
        <v>99.892318000000017</v>
      </c>
      <c r="K699">
        <f t="shared" si="38"/>
        <v>99.892318000000017</v>
      </c>
    </row>
    <row r="700" spans="2:11" x14ac:dyDescent="0.25">
      <c r="B700" s="1">
        <v>45912</v>
      </c>
      <c r="C700" t="s">
        <v>70</v>
      </c>
      <c r="E700" t="s">
        <v>12</v>
      </c>
      <c r="F700">
        <v>33957.980000000003</v>
      </c>
      <c r="G700" t="s">
        <v>91</v>
      </c>
      <c r="H700">
        <f t="shared" si="39"/>
        <v>-3.124606</v>
      </c>
      <c r="I700">
        <v>41</v>
      </c>
      <c r="J700">
        <f t="shared" si="37"/>
        <v>-128.108846</v>
      </c>
      <c r="K700">
        <f t="shared" si="38"/>
        <v>0</v>
      </c>
    </row>
    <row r="701" spans="2:11" x14ac:dyDescent="0.25">
      <c r="B701" s="1">
        <v>45912</v>
      </c>
      <c r="C701" t="s">
        <v>70</v>
      </c>
      <c r="E701" t="s">
        <v>62</v>
      </c>
      <c r="F701">
        <v>37389.35</v>
      </c>
      <c r="G701" t="s">
        <v>91</v>
      </c>
      <c r="H701">
        <f t="shared" si="39"/>
        <v>-2.0951950000000004</v>
      </c>
      <c r="I701">
        <v>41</v>
      </c>
      <c r="J701">
        <f t="shared" si="37"/>
        <v>-85.902995000000018</v>
      </c>
      <c r="K701">
        <f t="shared" si="38"/>
        <v>0</v>
      </c>
    </row>
    <row r="702" spans="2:11" x14ac:dyDescent="0.25">
      <c r="B702" s="1">
        <v>45912</v>
      </c>
      <c r="C702" t="s">
        <v>70</v>
      </c>
      <c r="E702" t="s">
        <v>18</v>
      </c>
      <c r="F702">
        <v>42639.88</v>
      </c>
      <c r="G702" t="s">
        <v>91</v>
      </c>
      <c r="H702">
        <f t="shared" si="39"/>
        <v>-0.52003600000000105</v>
      </c>
      <c r="I702">
        <v>41</v>
      </c>
      <c r="J702">
        <f t="shared" si="37"/>
        <v>-21.321476000000043</v>
      </c>
      <c r="K702">
        <f t="shared" si="38"/>
        <v>0</v>
      </c>
    </row>
    <row r="703" spans="2:11" x14ac:dyDescent="0.25">
      <c r="B703" s="1">
        <v>45912</v>
      </c>
      <c r="C703" t="s">
        <v>70</v>
      </c>
      <c r="E703" t="s">
        <v>19</v>
      </c>
      <c r="F703">
        <v>85816.31</v>
      </c>
      <c r="G703" t="s">
        <v>91</v>
      </c>
      <c r="H703">
        <f t="shared" si="39"/>
        <v>12.432892999999998</v>
      </c>
      <c r="I703">
        <v>41</v>
      </c>
      <c r="J703">
        <f t="shared" si="37"/>
        <v>509.74861299999992</v>
      </c>
      <c r="K703">
        <f t="shared" si="38"/>
        <v>509.74861299999992</v>
      </c>
    </row>
    <row r="704" spans="2:11" x14ac:dyDescent="0.25">
      <c r="B704" s="1">
        <v>45912</v>
      </c>
      <c r="C704" t="s">
        <v>70</v>
      </c>
      <c r="E704" t="s">
        <v>20</v>
      </c>
      <c r="F704">
        <v>35406.230000000003</v>
      </c>
      <c r="G704" t="s">
        <v>91</v>
      </c>
      <c r="H704">
        <f t="shared" si="39"/>
        <v>-2.6901309999999992</v>
      </c>
      <c r="I704">
        <v>41</v>
      </c>
      <c r="J704">
        <f t="shared" si="37"/>
        <v>-110.29537099999996</v>
      </c>
      <c r="K704">
        <f t="shared" si="38"/>
        <v>0</v>
      </c>
    </row>
    <row r="705" spans="2:11" x14ac:dyDescent="0.25">
      <c r="B705" s="1">
        <v>45912</v>
      </c>
      <c r="C705" t="s">
        <v>70</v>
      </c>
      <c r="E705" t="s">
        <v>63</v>
      </c>
      <c r="F705">
        <v>47928.3</v>
      </c>
      <c r="G705" t="s">
        <v>91</v>
      </c>
      <c r="H705">
        <f t="shared" si="39"/>
        <v>1.0664899999999999</v>
      </c>
      <c r="I705">
        <v>41</v>
      </c>
      <c r="J705">
        <f t="shared" si="37"/>
        <v>43.726089999999999</v>
      </c>
      <c r="K705">
        <f t="shared" si="38"/>
        <v>43.726089999999999</v>
      </c>
    </row>
    <row r="706" spans="2:11" x14ac:dyDescent="0.25">
      <c r="B706" s="1">
        <v>45912</v>
      </c>
      <c r="C706" t="s">
        <v>70</v>
      </c>
      <c r="E706" t="s">
        <v>21</v>
      </c>
      <c r="F706">
        <v>38477.550000000003</v>
      </c>
      <c r="G706" t="s">
        <v>91</v>
      </c>
      <c r="H706">
        <f t="shared" si="39"/>
        <v>-1.7687349999999995</v>
      </c>
      <c r="I706">
        <v>41</v>
      </c>
      <c r="J706">
        <f t="shared" si="37"/>
        <v>-72.518134999999972</v>
      </c>
      <c r="K706">
        <f t="shared" si="38"/>
        <v>0</v>
      </c>
    </row>
    <row r="707" spans="2:11" x14ac:dyDescent="0.25">
      <c r="B707" s="1">
        <v>45912</v>
      </c>
      <c r="C707" t="s">
        <v>70</v>
      </c>
      <c r="E707" t="s">
        <v>22</v>
      </c>
      <c r="F707">
        <v>42885.37</v>
      </c>
      <c r="G707" t="s">
        <v>91</v>
      </c>
      <c r="H707">
        <f t="shared" si="39"/>
        <v>-0.44638899999999992</v>
      </c>
      <c r="I707">
        <v>41</v>
      </c>
      <c r="J707">
        <f t="shared" si="37"/>
        <v>-18.301948999999997</v>
      </c>
      <c r="K707">
        <f t="shared" si="38"/>
        <v>0</v>
      </c>
    </row>
    <row r="708" spans="2:11" x14ac:dyDescent="0.25">
      <c r="B708" s="1">
        <v>45912</v>
      </c>
      <c r="C708" t="s">
        <v>70</v>
      </c>
      <c r="E708" t="s">
        <v>23</v>
      </c>
      <c r="F708">
        <v>37740.21</v>
      </c>
      <c r="G708" t="s">
        <v>91</v>
      </c>
      <c r="H708">
        <f t="shared" si="39"/>
        <v>-1.9899370000000012</v>
      </c>
      <c r="I708">
        <v>41</v>
      </c>
      <c r="J708">
        <f t="shared" si="37"/>
        <v>-81.587417000000045</v>
      </c>
      <c r="K708">
        <f t="shared" si="38"/>
        <v>0</v>
      </c>
    </row>
    <row r="709" spans="2:11" x14ac:dyDescent="0.25">
      <c r="B709" s="1">
        <v>45912</v>
      </c>
      <c r="C709" t="s">
        <v>70</v>
      </c>
      <c r="E709" t="s">
        <v>64</v>
      </c>
      <c r="F709">
        <v>40467.21</v>
      </c>
      <c r="G709" t="s">
        <v>91</v>
      </c>
      <c r="H709">
        <f t="shared" si="39"/>
        <v>-1.171837</v>
      </c>
      <c r="I709">
        <v>41</v>
      </c>
      <c r="J709">
        <f t="shared" si="37"/>
        <v>-48.045316999999997</v>
      </c>
      <c r="K709">
        <f t="shared" si="38"/>
        <v>0</v>
      </c>
    </row>
    <row r="710" spans="2:11" x14ac:dyDescent="0.25">
      <c r="B710" s="1">
        <v>45912</v>
      </c>
      <c r="C710" t="s">
        <v>70</v>
      </c>
      <c r="E710" t="s">
        <v>24</v>
      </c>
      <c r="F710">
        <v>51394.34</v>
      </c>
      <c r="G710" t="s">
        <v>91</v>
      </c>
      <c r="H710">
        <f t="shared" si="39"/>
        <v>2.1063019999999977</v>
      </c>
      <c r="I710">
        <v>41</v>
      </c>
      <c r="J710">
        <f t="shared" si="37"/>
        <v>86.358381999999906</v>
      </c>
      <c r="K710">
        <f t="shared" si="38"/>
        <v>86.358381999999906</v>
      </c>
    </row>
    <row r="711" spans="2:11" x14ac:dyDescent="0.25">
      <c r="B711" s="1">
        <v>45912</v>
      </c>
      <c r="C711" t="s">
        <v>70</v>
      </c>
      <c r="E711" t="s">
        <v>25</v>
      </c>
      <c r="F711">
        <v>45959.57</v>
      </c>
      <c r="G711" t="s">
        <v>91</v>
      </c>
      <c r="H711">
        <f t="shared" si="39"/>
        <v>0.47587099999999971</v>
      </c>
      <c r="I711">
        <v>41</v>
      </c>
      <c r="J711">
        <f t="shared" si="37"/>
        <v>19.510710999999986</v>
      </c>
      <c r="K711">
        <f t="shared" si="38"/>
        <v>19.510710999999986</v>
      </c>
    </row>
    <row r="712" spans="2:11" x14ac:dyDescent="0.25">
      <c r="B712" s="1">
        <v>45912</v>
      </c>
      <c r="C712" t="s">
        <v>70</v>
      </c>
      <c r="E712" t="s">
        <v>26</v>
      </c>
      <c r="F712">
        <v>145691.14000000001</v>
      </c>
      <c r="G712" t="s">
        <v>91</v>
      </c>
      <c r="H712">
        <f t="shared" si="39"/>
        <v>30.395341999999999</v>
      </c>
      <c r="I712">
        <v>41</v>
      </c>
      <c r="J712">
        <f t="shared" si="37"/>
        <v>1246.209022</v>
      </c>
      <c r="K712">
        <f t="shared" si="38"/>
        <v>1246.209022</v>
      </c>
    </row>
    <row r="713" spans="2:11" x14ac:dyDescent="0.25">
      <c r="B713" s="1">
        <v>45912</v>
      </c>
      <c r="C713" t="s">
        <v>70</v>
      </c>
      <c r="E713" t="s">
        <v>65</v>
      </c>
      <c r="F713" s="6">
        <v>32434.27</v>
      </c>
      <c r="G713" t="s">
        <v>91</v>
      </c>
      <c r="H713">
        <f t="shared" si="39"/>
        <v>-3.5817189999999997</v>
      </c>
      <c r="I713">
        <v>41</v>
      </c>
      <c r="J713">
        <f t="shared" si="37"/>
        <v>-146.85047899999998</v>
      </c>
      <c r="K713">
        <f t="shared" si="38"/>
        <v>0</v>
      </c>
    </row>
    <row r="714" spans="2:11" x14ac:dyDescent="0.25">
      <c r="B714" s="1">
        <v>45912</v>
      </c>
      <c r="C714" t="s">
        <v>70</v>
      </c>
      <c r="E714" t="s">
        <v>27</v>
      </c>
      <c r="F714" s="6">
        <v>212262.95</v>
      </c>
      <c r="G714" t="s">
        <v>91</v>
      </c>
      <c r="H714">
        <f t="shared" si="39"/>
        <v>50.366885000000003</v>
      </c>
      <c r="I714">
        <v>41</v>
      </c>
      <c r="J714">
        <f t="shared" si="37"/>
        <v>2065.042285</v>
      </c>
      <c r="K714">
        <f t="shared" si="38"/>
        <v>2065.042285</v>
      </c>
    </row>
    <row r="715" spans="2:11" x14ac:dyDescent="0.25">
      <c r="B715" s="1">
        <v>45912</v>
      </c>
      <c r="C715" t="s">
        <v>70</v>
      </c>
      <c r="E715" t="s">
        <v>28</v>
      </c>
      <c r="F715">
        <v>45607.65</v>
      </c>
      <c r="G715" t="s">
        <v>91</v>
      </c>
      <c r="H715">
        <f t="shared" si="39"/>
        <v>0.37029500000000048</v>
      </c>
      <c r="I715">
        <v>41</v>
      </c>
      <c r="J715">
        <f t="shared" si="37"/>
        <v>15.18209500000002</v>
      </c>
      <c r="K715">
        <f t="shared" si="38"/>
        <v>15.18209500000002</v>
      </c>
    </row>
    <row r="716" spans="2:11" x14ac:dyDescent="0.25">
      <c r="B716" s="1">
        <v>45912</v>
      </c>
      <c r="C716" t="s">
        <v>70</v>
      </c>
      <c r="E716" t="s">
        <v>29</v>
      </c>
      <c r="F716">
        <v>41129.11</v>
      </c>
      <c r="G716" t="s">
        <v>91</v>
      </c>
      <c r="H716">
        <f t="shared" si="39"/>
        <v>-0.97326699999999988</v>
      </c>
      <c r="I716">
        <v>41</v>
      </c>
      <c r="J716">
        <f t="shared" si="37"/>
        <v>-39.903946999999995</v>
      </c>
      <c r="K716">
        <f t="shared" si="38"/>
        <v>0</v>
      </c>
    </row>
    <row r="717" spans="2:11" x14ac:dyDescent="0.25">
      <c r="B717" s="1">
        <v>45912</v>
      </c>
      <c r="C717" t="s">
        <v>70</v>
      </c>
      <c r="E717" t="s">
        <v>66</v>
      </c>
      <c r="F717">
        <v>68887.7</v>
      </c>
      <c r="G717" t="s">
        <v>91</v>
      </c>
      <c r="H717">
        <f t="shared" si="39"/>
        <v>7.3543099999999964</v>
      </c>
      <c r="I717">
        <v>41</v>
      </c>
      <c r="J717">
        <f t="shared" si="37"/>
        <v>301.52670999999987</v>
      </c>
      <c r="K717">
        <f t="shared" si="38"/>
        <v>301.52670999999987</v>
      </c>
    </row>
    <row r="718" spans="2:11" x14ac:dyDescent="0.25">
      <c r="B718" s="1">
        <v>45912</v>
      </c>
      <c r="C718" t="s">
        <v>70</v>
      </c>
      <c r="D718" t="s">
        <v>67</v>
      </c>
      <c r="E718">
        <v>1</v>
      </c>
      <c r="F718">
        <v>52884.36</v>
      </c>
      <c r="G718" t="s">
        <v>91</v>
      </c>
      <c r="H718">
        <f t="shared" si="39"/>
        <v>2.5533079999999995</v>
      </c>
      <c r="I718">
        <v>1</v>
      </c>
      <c r="J718">
        <f t="shared" si="37"/>
        <v>2.5533079999999995</v>
      </c>
      <c r="K718">
        <f t="shared" si="38"/>
        <v>2.5533079999999995</v>
      </c>
    </row>
    <row r="719" spans="2:11" x14ac:dyDescent="0.25">
      <c r="B719" s="1">
        <v>45912</v>
      </c>
      <c r="C719" t="s">
        <v>70</v>
      </c>
      <c r="D719" t="s">
        <v>67</v>
      </c>
      <c r="E719">
        <v>2</v>
      </c>
      <c r="F719">
        <v>67812.05</v>
      </c>
      <c r="G719" t="s">
        <v>91</v>
      </c>
      <c r="H719">
        <f t="shared" si="39"/>
        <v>7.0316150000000004</v>
      </c>
      <c r="I719">
        <v>1</v>
      </c>
      <c r="J719">
        <f t="shared" si="37"/>
        <v>7.0316150000000004</v>
      </c>
      <c r="K719">
        <f t="shared" si="38"/>
        <v>7.0316150000000004</v>
      </c>
    </row>
    <row r="720" spans="2:11" x14ac:dyDescent="0.25">
      <c r="B720" s="1">
        <v>45912</v>
      </c>
      <c r="C720" t="s">
        <v>70</v>
      </c>
      <c r="D720" t="s">
        <v>67</v>
      </c>
      <c r="E720">
        <v>3</v>
      </c>
      <c r="F720">
        <v>38153.61</v>
      </c>
      <c r="G720" t="s">
        <v>91</v>
      </c>
      <c r="H720">
        <f t="shared" si="39"/>
        <v>-1.8659169999999996</v>
      </c>
      <c r="I720">
        <v>1</v>
      </c>
      <c r="J720">
        <f t="shared" si="37"/>
        <v>-1.8659169999999996</v>
      </c>
      <c r="K720">
        <f t="shared" si="38"/>
        <v>0</v>
      </c>
    </row>
    <row r="721" spans="2:11" x14ac:dyDescent="0.25">
      <c r="B721" s="1">
        <v>45912</v>
      </c>
      <c r="C721" t="s">
        <v>72</v>
      </c>
      <c r="E721" t="s">
        <v>13</v>
      </c>
      <c r="F721">
        <v>40936.080000000002</v>
      </c>
      <c r="G721" t="s">
        <v>91</v>
      </c>
      <c r="H721">
        <f t="shared" si="39"/>
        <v>-1.0311760000000003</v>
      </c>
      <c r="I721">
        <v>41</v>
      </c>
      <c r="J721">
        <f t="shared" si="37"/>
        <v>-42.278216000000015</v>
      </c>
      <c r="K721">
        <f t="shared" si="38"/>
        <v>0</v>
      </c>
    </row>
    <row r="722" spans="2:11" x14ac:dyDescent="0.25">
      <c r="B722" s="1">
        <v>45912</v>
      </c>
      <c r="C722" t="s">
        <v>72</v>
      </c>
      <c r="E722" t="s">
        <v>14</v>
      </c>
      <c r="F722">
        <v>30527.26</v>
      </c>
      <c r="G722" t="s">
        <v>91</v>
      </c>
      <c r="H722">
        <f t="shared" si="39"/>
        <v>-4.1538219999999999</v>
      </c>
      <c r="I722">
        <v>41</v>
      </c>
      <c r="J722">
        <f t="shared" si="37"/>
        <v>-170.306702</v>
      </c>
      <c r="K722">
        <f t="shared" si="38"/>
        <v>0</v>
      </c>
    </row>
    <row r="723" spans="2:11" x14ac:dyDescent="0.25">
      <c r="B723" s="1">
        <v>45912</v>
      </c>
      <c r="C723" t="s">
        <v>72</v>
      </c>
      <c r="E723" t="s">
        <v>15</v>
      </c>
      <c r="F723">
        <v>140106.19</v>
      </c>
      <c r="G723" t="s">
        <v>91</v>
      </c>
      <c r="H723">
        <f t="shared" si="39"/>
        <v>28.719856999999998</v>
      </c>
      <c r="I723">
        <v>41</v>
      </c>
      <c r="J723">
        <f t="shared" si="37"/>
        <v>1177.5141369999999</v>
      </c>
      <c r="K723">
        <f t="shared" si="38"/>
        <v>1177.5141369999999</v>
      </c>
    </row>
    <row r="724" spans="2:11" x14ac:dyDescent="0.25">
      <c r="B724" s="1">
        <v>45912</v>
      </c>
      <c r="C724" t="s">
        <v>72</v>
      </c>
      <c r="E724" t="s">
        <v>61</v>
      </c>
      <c r="F724">
        <v>31313.95</v>
      </c>
      <c r="G724" t="s">
        <v>91</v>
      </c>
      <c r="H724">
        <f t="shared" si="39"/>
        <v>-3.9178149999999992</v>
      </c>
      <c r="I724">
        <v>41</v>
      </c>
      <c r="J724">
        <f t="shared" si="37"/>
        <v>-160.63041499999997</v>
      </c>
      <c r="K724">
        <f t="shared" si="38"/>
        <v>0</v>
      </c>
    </row>
    <row r="725" spans="2:11" x14ac:dyDescent="0.25">
      <c r="B725" s="1">
        <v>45912</v>
      </c>
      <c r="C725" t="s">
        <v>72</v>
      </c>
      <c r="E725" t="s">
        <v>16</v>
      </c>
      <c r="F725">
        <v>30999.66</v>
      </c>
      <c r="G725" t="s">
        <v>91</v>
      </c>
      <c r="H725">
        <f t="shared" si="39"/>
        <v>-4.0121020000000005</v>
      </c>
      <c r="I725">
        <v>41</v>
      </c>
      <c r="J725">
        <f t="shared" si="37"/>
        <v>-164.49618200000003</v>
      </c>
      <c r="K725">
        <f t="shared" si="38"/>
        <v>0</v>
      </c>
    </row>
    <row r="726" spans="2:11" x14ac:dyDescent="0.25">
      <c r="B726" s="1">
        <v>45912</v>
      </c>
      <c r="C726" t="s">
        <v>72</v>
      </c>
      <c r="E726" t="s">
        <v>17</v>
      </c>
      <c r="F726">
        <v>30497.73</v>
      </c>
      <c r="G726" t="s">
        <v>91</v>
      </c>
      <c r="H726">
        <f t="shared" si="39"/>
        <v>-4.162681000000001</v>
      </c>
      <c r="I726">
        <v>41</v>
      </c>
      <c r="J726">
        <f t="shared" si="37"/>
        <v>-170.66992100000004</v>
      </c>
      <c r="K726">
        <f t="shared" si="38"/>
        <v>0</v>
      </c>
    </row>
    <row r="727" spans="2:11" x14ac:dyDescent="0.25">
      <c r="B727" s="1">
        <v>45912</v>
      </c>
      <c r="C727" t="s">
        <v>72</v>
      </c>
      <c r="E727" t="s">
        <v>12</v>
      </c>
      <c r="F727">
        <v>36998.269999999997</v>
      </c>
      <c r="G727" t="s">
        <v>91</v>
      </c>
      <c r="H727">
        <f t="shared" si="39"/>
        <v>-2.2125190000000021</v>
      </c>
      <c r="I727">
        <v>41</v>
      </c>
      <c r="J727">
        <f t="shared" si="37"/>
        <v>-90.713279000000085</v>
      </c>
      <c r="K727">
        <f t="shared" si="38"/>
        <v>0</v>
      </c>
    </row>
    <row r="728" spans="2:11" x14ac:dyDescent="0.25">
      <c r="B728" s="1">
        <v>45912</v>
      </c>
      <c r="C728" t="s">
        <v>72</v>
      </c>
      <c r="E728" t="s">
        <v>62</v>
      </c>
      <c r="F728">
        <v>30392.51</v>
      </c>
      <c r="G728" t="s">
        <v>91</v>
      </c>
      <c r="H728">
        <f t="shared" si="39"/>
        <v>-4.1942470000000007</v>
      </c>
      <c r="I728">
        <v>41</v>
      </c>
      <c r="J728">
        <f t="shared" si="37"/>
        <v>-171.96412700000002</v>
      </c>
      <c r="K728">
        <f t="shared" si="38"/>
        <v>0</v>
      </c>
    </row>
    <row r="729" spans="2:11" x14ac:dyDescent="0.25">
      <c r="B729" s="1">
        <v>45912</v>
      </c>
      <c r="C729" t="s">
        <v>72</v>
      </c>
      <c r="E729" t="s">
        <v>18</v>
      </c>
      <c r="F729">
        <v>36496.839999999997</v>
      </c>
      <c r="G729" t="s">
        <v>91</v>
      </c>
      <c r="H729">
        <f t="shared" si="39"/>
        <v>-2.3629480000000012</v>
      </c>
      <c r="I729">
        <v>41</v>
      </c>
      <c r="J729">
        <f t="shared" si="37"/>
        <v>-96.880868000000049</v>
      </c>
      <c r="K729">
        <f t="shared" si="38"/>
        <v>0</v>
      </c>
    </row>
    <row r="730" spans="2:11" x14ac:dyDescent="0.25">
      <c r="B730" s="1">
        <v>45912</v>
      </c>
      <c r="C730" t="s">
        <v>72</v>
      </c>
      <c r="E730" t="s">
        <v>19</v>
      </c>
      <c r="F730">
        <v>49191.17</v>
      </c>
      <c r="G730" t="s">
        <v>91</v>
      </c>
      <c r="H730">
        <f t="shared" si="39"/>
        <v>1.4453509999999987</v>
      </c>
      <c r="I730">
        <v>41</v>
      </c>
      <c r="J730">
        <f t="shared" si="37"/>
        <v>59.259390999999951</v>
      </c>
      <c r="K730">
        <f t="shared" si="38"/>
        <v>59.259390999999951</v>
      </c>
    </row>
    <row r="731" spans="2:11" x14ac:dyDescent="0.25">
      <c r="B731" s="1">
        <v>45912</v>
      </c>
      <c r="C731" t="s">
        <v>72</v>
      </c>
      <c r="E731" t="s">
        <v>20</v>
      </c>
      <c r="G731" t="s">
        <v>91</v>
      </c>
      <c r="H731">
        <f t="shared" si="39"/>
        <v>-13.311999999999999</v>
      </c>
      <c r="I731">
        <v>41</v>
      </c>
      <c r="J731">
        <f t="shared" si="37"/>
        <v>-545.79200000000003</v>
      </c>
      <c r="K731">
        <f t="shared" si="38"/>
        <v>0</v>
      </c>
    </row>
    <row r="732" spans="2:11" x14ac:dyDescent="0.25">
      <c r="B732" s="1">
        <v>45912</v>
      </c>
      <c r="C732" t="s">
        <v>72</v>
      </c>
      <c r="E732" t="s">
        <v>63</v>
      </c>
      <c r="F732">
        <v>71589.440000000002</v>
      </c>
      <c r="G732" t="s">
        <v>91</v>
      </c>
      <c r="H732">
        <f t="shared" si="39"/>
        <v>8.1648319999999988</v>
      </c>
      <c r="I732">
        <v>41</v>
      </c>
      <c r="J732">
        <f t="shared" si="37"/>
        <v>334.75811199999993</v>
      </c>
      <c r="K732">
        <f t="shared" si="38"/>
        <v>334.75811199999993</v>
      </c>
    </row>
    <row r="733" spans="2:11" x14ac:dyDescent="0.25">
      <c r="B733" s="1">
        <v>45912</v>
      </c>
      <c r="C733" t="s">
        <v>72</v>
      </c>
      <c r="E733" t="s">
        <v>21</v>
      </c>
      <c r="F733">
        <v>32139.75</v>
      </c>
      <c r="G733" t="s">
        <v>91</v>
      </c>
      <c r="H733">
        <f t="shared" si="39"/>
        <v>-3.6700750000000006</v>
      </c>
      <c r="I733">
        <v>41</v>
      </c>
      <c r="J733">
        <f t="shared" si="37"/>
        <v>-150.47307500000002</v>
      </c>
      <c r="K733">
        <f t="shared" si="38"/>
        <v>0</v>
      </c>
    </row>
    <row r="734" spans="2:11" x14ac:dyDescent="0.25">
      <c r="B734" s="1">
        <v>45912</v>
      </c>
      <c r="C734" t="s">
        <v>72</v>
      </c>
      <c r="E734" t="s">
        <v>22</v>
      </c>
      <c r="F734">
        <v>37832.15</v>
      </c>
      <c r="G734" t="s">
        <v>91</v>
      </c>
      <c r="H734">
        <f t="shared" si="39"/>
        <v>-1.9623550000000005</v>
      </c>
      <c r="I734">
        <v>41</v>
      </c>
      <c r="J734">
        <f t="shared" si="37"/>
        <v>-80.456555000000023</v>
      </c>
      <c r="K734">
        <f t="shared" si="38"/>
        <v>0</v>
      </c>
    </row>
    <row r="735" spans="2:11" x14ac:dyDescent="0.25">
      <c r="B735" s="1">
        <v>45912</v>
      </c>
      <c r="C735" t="s">
        <v>72</v>
      </c>
      <c r="E735" t="s">
        <v>23</v>
      </c>
      <c r="F735">
        <v>35028.14</v>
      </c>
      <c r="G735" t="s">
        <v>91</v>
      </c>
      <c r="H735">
        <f t="shared" si="39"/>
        <v>-2.8035580000000007</v>
      </c>
      <c r="I735">
        <v>41</v>
      </c>
      <c r="J735">
        <f t="shared" si="37"/>
        <v>-114.94587800000002</v>
      </c>
      <c r="K735">
        <f t="shared" si="38"/>
        <v>0</v>
      </c>
    </row>
    <row r="736" spans="2:11" x14ac:dyDescent="0.25">
      <c r="B736" s="1">
        <v>45912</v>
      </c>
      <c r="C736" t="s">
        <v>72</v>
      </c>
      <c r="E736" t="s">
        <v>64</v>
      </c>
      <c r="F736">
        <v>54897.48</v>
      </c>
      <c r="G736" t="s">
        <v>91</v>
      </c>
      <c r="H736">
        <f t="shared" si="39"/>
        <v>3.1572440000000004</v>
      </c>
      <c r="I736">
        <v>41</v>
      </c>
      <c r="J736">
        <f t="shared" si="37"/>
        <v>129.44700400000002</v>
      </c>
      <c r="K736">
        <f t="shared" si="38"/>
        <v>129.44700400000002</v>
      </c>
    </row>
    <row r="737" spans="2:11" x14ac:dyDescent="0.25">
      <c r="B737" s="1">
        <v>45912</v>
      </c>
      <c r="C737" t="s">
        <v>72</v>
      </c>
      <c r="E737" t="s">
        <v>24</v>
      </c>
      <c r="F737">
        <v>35302.17</v>
      </c>
      <c r="G737" t="s">
        <v>91</v>
      </c>
      <c r="H737">
        <f t="shared" si="39"/>
        <v>-2.721349</v>
      </c>
      <c r="I737">
        <v>41</v>
      </c>
      <c r="J737">
        <f t="shared" si="37"/>
        <v>-111.575309</v>
      </c>
      <c r="K737">
        <f t="shared" si="38"/>
        <v>0</v>
      </c>
    </row>
    <row r="738" spans="2:11" x14ac:dyDescent="0.25">
      <c r="B738" s="1">
        <v>45912</v>
      </c>
      <c r="C738" t="s">
        <v>72</v>
      </c>
      <c r="E738" t="s">
        <v>25</v>
      </c>
      <c r="F738">
        <v>35602.699999999997</v>
      </c>
      <c r="G738" t="s">
        <v>91</v>
      </c>
      <c r="H738">
        <f t="shared" si="39"/>
        <v>-2.6311900000000019</v>
      </c>
      <c r="I738">
        <v>41</v>
      </c>
      <c r="J738">
        <f t="shared" si="37"/>
        <v>-107.87879000000008</v>
      </c>
      <c r="K738">
        <f t="shared" si="38"/>
        <v>0</v>
      </c>
    </row>
    <row r="739" spans="2:11" x14ac:dyDescent="0.25">
      <c r="B739" s="1">
        <v>45912</v>
      </c>
      <c r="C739" t="s">
        <v>72</v>
      </c>
      <c r="E739" t="s">
        <v>26</v>
      </c>
      <c r="F739">
        <v>38060.57</v>
      </c>
      <c r="G739" t="s">
        <v>91</v>
      </c>
      <c r="H739">
        <f t="shared" si="39"/>
        <v>-1.8938290000000002</v>
      </c>
      <c r="I739">
        <v>41</v>
      </c>
      <c r="J739">
        <f t="shared" si="37"/>
        <v>-77.646989000000005</v>
      </c>
      <c r="K739">
        <f t="shared" si="38"/>
        <v>0</v>
      </c>
    </row>
    <row r="740" spans="2:11" x14ac:dyDescent="0.25">
      <c r="B740" s="1">
        <v>45912</v>
      </c>
      <c r="C740" t="s">
        <v>72</v>
      </c>
      <c r="E740" t="s">
        <v>65</v>
      </c>
      <c r="F740">
        <v>43113.86</v>
      </c>
      <c r="G740" t="s">
        <v>91</v>
      </c>
      <c r="H740">
        <f t="shared" si="39"/>
        <v>-0.37784200000000112</v>
      </c>
      <c r="I740">
        <v>41</v>
      </c>
      <c r="J740">
        <f t="shared" si="37"/>
        <v>-15.491522000000046</v>
      </c>
      <c r="K740">
        <f t="shared" si="38"/>
        <v>0</v>
      </c>
    </row>
    <row r="741" spans="2:11" x14ac:dyDescent="0.25">
      <c r="B741" s="1">
        <v>45912</v>
      </c>
      <c r="C741" t="s">
        <v>72</v>
      </c>
      <c r="E741" t="s">
        <v>27</v>
      </c>
      <c r="F741">
        <v>37734.550000000003</v>
      </c>
      <c r="G741" t="s">
        <v>91</v>
      </c>
      <c r="H741">
        <f t="shared" si="39"/>
        <v>-1.9916349999999987</v>
      </c>
      <c r="I741">
        <v>41</v>
      </c>
      <c r="J741">
        <f t="shared" si="37"/>
        <v>-81.657034999999951</v>
      </c>
      <c r="K741">
        <f t="shared" si="38"/>
        <v>0</v>
      </c>
    </row>
    <row r="742" spans="2:11" x14ac:dyDescent="0.25">
      <c r="B742" s="1">
        <v>45912</v>
      </c>
      <c r="C742" t="s">
        <v>72</v>
      </c>
      <c r="E742" t="s">
        <v>28</v>
      </c>
      <c r="F742">
        <v>33850.949999999997</v>
      </c>
      <c r="G742" t="s">
        <v>91</v>
      </c>
      <c r="H742">
        <f t="shared" si="39"/>
        <v>-3.1567150000000019</v>
      </c>
      <c r="I742">
        <v>41</v>
      </c>
      <c r="J742">
        <f t="shared" si="37"/>
        <v>-129.42531500000007</v>
      </c>
      <c r="K742">
        <f t="shared" si="38"/>
        <v>0</v>
      </c>
    </row>
    <row r="743" spans="2:11" x14ac:dyDescent="0.25">
      <c r="B743" s="1">
        <v>45912</v>
      </c>
      <c r="C743" t="s">
        <v>72</v>
      </c>
      <c r="E743" t="s">
        <v>29</v>
      </c>
      <c r="F743">
        <v>43810.66</v>
      </c>
      <c r="G743" t="s">
        <v>91</v>
      </c>
      <c r="H743">
        <f t="shared" si="39"/>
        <v>-0.16880199999999945</v>
      </c>
      <c r="I743">
        <v>41</v>
      </c>
      <c r="J743">
        <f t="shared" si="37"/>
        <v>-6.9208819999999776</v>
      </c>
      <c r="K743">
        <f t="shared" si="38"/>
        <v>0</v>
      </c>
    </row>
    <row r="744" spans="2:11" x14ac:dyDescent="0.25">
      <c r="B744" s="1">
        <v>45912</v>
      </c>
      <c r="C744" t="s">
        <v>72</v>
      </c>
      <c r="E744" t="s">
        <v>66</v>
      </c>
      <c r="F744">
        <v>40486.29</v>
      </c>
      <c r="G744" t="s">
        <v>91</v>
      </c>
      <c r="H744">
        <f t="shared" si="39"/>
        <v>-1.1661130000000011</v>
      </c>
      <c r="I744">
        <v>41</v>
      </c>
      <c r="J744">
        <f t="shared" si="37"/>
        <v>-47.810633000000045</v>
      </c>
      <c r="K744">
        <f t="shared" si="38"/>
        <v>0</v>
      </c>
    </row>
    <row r="745" spans="2:11" x14ac:dyDescent="0.25">
      <c r="B745" s="1">
        <v>45912</v>
      </c>
      <c r="C745" t="s">
        <v>72</v>
      </c>
      <c r="D745" t="s">
        <v>67</v>
      </c>
      <c r="E745">
        <v>1</v>
      </c>
      <c r="F745">
        <v>85631.81</v>
      </c>
      <c r="G745" t="s">
        <v>91</v>
      </c>
      <c r="H745">
        <f t="shared" si="39"/>
        <v>12.377542999999998</v>
      </c>
      <c r="I745">
        <v>1</v>
      </c>
      <c r="J745">
        <f t="shared" si="37"/>
        <v>12.377542999999998</v>
      </c>
      <c r="K745">
        <f t="shared" si="38"/>
        <v>12.377542999999998</v>
      </c>
    </row>
    <row r="746" spans="2:11" x14ac:dyDescent="0.25">
      <c r="B746" s="1">
        <v>45912</v>
      </c>
      <c r="C746" t="s">
        <v>72</v>
      </c>
      <c r="D746" t="s">
        <v>67</v>
      </c>
      <c r="E746">
        <v>2</v>
      </c>
      <c r="F746">
        <v>80729.38</v>
      </c>
      <c r="G746" t="s">
        <v>91</v>
      </c>
      <c r="H746">
        <f t="shared" si="39"/>
        <v>10.906813999999999</v>
      </c>
      <c r="I746">
        <v>1</v>
      </c>
      <c r="J746">
        <f t="shared" si="37"/>
        <v>10.906813999999999</v>
      </c>
      <c r="K746">
        <f t="shared" si="38"/>
        <v>10.906813999999999</v>
      </c>
    </row>
    <row r="747" spans="2:11" x14ac:dyDescent="0.25">
      <c r="B747" s="1">
        <v>45912</v>
      </c>
      <c r="C747" t="s">
        <v>72</v>
      </c>
      <c r="D747" t="s">
        <v>67</v>
      </c>
      <c r="E747">
        <v>3</v>
      </c>
      <c r="F747">
        <v>77756.89</v>
      </c>
      <c r="G747" t="s">
        <v>91</v>
      </c>
      <c r="H747">
        <f t="shared" si="39"/>
        <v>10.015067</v>
      </c>
      <c r="I747">
        <v>1</v>
      </c>
      <c r="J747">
        <f t="shared" si="37"/>
        <v>10.015067</v>
      </c>
      <c r="K747">
        <f t="shared" si="38"/>
        <v>10.015067</v>
      </c>
    </row>
    <row r="748" spans="2:11" x14ac:dyDescent="0.25">
      <c r="B748" s="1">
        <v>45947</v>
      </c>
      <c r="C748" t="s">
        <v>12</v>
      </c>
      <c r="E748" t="s">
        <v>13</v>
      </c>
      <c r="F748">
        <v>29679.89</v>
      </c>
      <c r="G748" t="s">
        <v>320</v>
      </c>
      <c r="H748">
        <f>(0.0003*F748)-5.8766</f>
        <v>3.0273669999999999</v>
      </c>
      <c r="I748" s="2">
        <v>20.5</v>
      </c>
      <c r="J748">
        <f t="shared" ref="J748:J811" si="40">H748*I748</f>
        <v>62.061023499999997</v>
      </c>
      <c r="K748">
        <f t="shared" ref="K748:K811" si="41">MAX(J748,0)</f>
        <v>62.061023499999997</v>
      </c>
    </row>
    <row r="749" spans="2:11" x14ac:dyDescent="0.25">
      <c r="B749" s="1">
        <v>45947</v>
      </c>
      <c r="C749" t="s">
        <v>12</v>
      </c>
      <c r="E749" t="s">
        <v>14</v>
      </c>
      <c r="F749">
        <v>59824.57</v>
      </c>
      <c r="G749" t="s">
        <v>320</v>
      </c>
      <c r="H749">
        <f t="shared" ref="H749:H812" si="42">(0.0003*F749)-5.8766</f>
        <v>12.070770999999997</v>
      </c>
      <c r="I749" s="2">
        <v>20.5</v>
      </c>
      <c r="J749">
        <f t="shared" si="40"/>
        <v>247.45080549999994</v>
      </c>
      <c r="K749">
        <f t="shared" si="41"/>
        <v>247.45080549999994</v>
      </c>
    </row>
    <row r="750" spans="2:11" x14ac:dyDescent="0.25">
      <c r="B750" s="1">
        <v>45947</v>
      </c>
      <c r="C750" t="s">
        <v>12</v>
      </c>
      <c r="E750" t="s">
        <v>15</v>
      </c>
      <c r="F750">
        <v>68102.95</v>
      </c>
      <c r="G750" t="s">
        <v>320</v>
      </c>
      <c r="H750">
        <f t="shared" si="42"/>
        <v>14.554284999999997</v>
      </c>
      <c r="I750" s="2">
        <v>20.5</v>
      </c>
      <c r="J750">
        <f t="shared" si="40"/>
        <v>298.36284249999994</v>
      </c>
      <c r="K750">
        <f t="shared" si="41"/>
        <v>298.36284249999994</v>
      </c>
    </row>
    <row r="751" spans="2:11" x14ac:dyDescent="0.25">
      <c r="B751" s="1">
        <v>45947</v>
      </c>
      <c r="C751" t="s">
        <v>12</v>
      </c>
      <c r="E751" t="s">
        <v>16</v>
      </c>
      <c r="F751">
        <v>57644.480000000003</v>
      </c>
      <c r="G751" t="s">
        <v>320</v>
      </c>
      <c r="H751">
        <f t="shared" si="42"/>
        <v>11.416744000000001</v>
      </c>
      <c r="I751" s="2">
        <v>20.5</v>
      </c>
      <c r="J751">
        <f t="shared" si="40"/>
        <v>234.04325200000002</v>
      </c>
      <c r="K751">
        <f t="shared" si="41"/>
        <v>234.04325200000002</v>
      </c>
    </row>
    <row r="752" spans="2:11" x14ac:dyDescent="0.25">
      <c r="B752" s="1">
        <v>45947</v>
      </c>
      <c r="C752" t="s">
        <v>12</v>
      </c>
      <c r="E752" t="s">
        <v>17</v>
      </c>
      <c r="F752">
        <v>48592.959999999999</v>
      </c>
      <c r="G752" t="s">
        <v>320</v>
      </c>
      <c r="H752">
        <f t="shared" si="42"/>
        <v>8.7012879999999981</v>
      </c>
      <c r="I752" s="2">
        <v>20.5</v>
      </c>
      <c r="J752">
        <f t="shared" si="40"/>
        <v>178.37640399999995</v>
      </c>
      <c r="K752">
        <f t="shared" si="41"/>
        <v>178.37640399999995</v>
      </c>
    </row>
    <row r="753" spans="2:11" x14ac:dyDescent="0.25">
      <c r="B753" s="1">
        <v>45947</v>
      </c>
      <c r="C753" t="s">
        <v>12</v>
      </c>
      <c r="E753" t="s">
        <v>12</v>
      </c>
      <c r="F753">
        <v>54251.86</v>
      </c>
      <c r="G753" t="s">
        <v>320</v>
      </c>
      <c r="H753">
        <f t="shared" si="42"/>
        <v>10.398958</v>
      </c>
      <c r="I753" s="2">
        <v>20.5</v>
      </c>
      <c r="J753">
        <f t="shared" si="40"/>
        <v>213.178639</v>
      </c>
      <c r="K753">
        <f t="shared" si="41"/>
        <v>213.178639</v>
      </c>
    </row>
    <row r="754" spans="2:11" x14ac:dyDescent="0.25">
      <c r="B754" s="1">
        <v>45947</v>
      </c>
      <c r="C754" t="s">
        <v>12</v>
      </c>
      <c r="E754" t="s">
        <v>18</v>
      </c>
      <c r="F754">
        <v>20534.900000000001</v>
      </c>
      <c r="G754" t="s">
        <v>320</v>
      </c>
      <c r="H754">
        <f t="shared" si="42"/>
        <v>0.28387000000000029</v>
      </c>
      <c r="I754" s="2">
        <v>20.5</v>
      </c>
      <c r="J754">
        <f t="shared" si="40"/>
        <v>5.8193350000000059</v>
      </c>
      <c r="K754">
        <f t="shared" si="41"/>
        <v>5.8193350000000059</v>
      </c>
    </row>
    <row r="755" spans="2:11" x14ac:dyDescent="0.25">
      <c r="B755" s="1">
        <v>45947</v>
      </c>
      <c r="C755" t="s">
        <v>12</v>
      </c>
      <c r="E755" t="s">
        <v>19</v>
      </c>
      <c r="F755">
        <v>24786.43</v>
      </c>
      <c r="G755" t="s">
        <v>320</v>
      </c>
      <c r="H755">
        <f t="shared" si="42"/>
        <v>1.559329</v>
      </c>
      <c r="I755" s="2">
        <v>20.5</v>
      </c>
      <c r="J755">
        <f t="shared" si="40"/>
        <v>31.966244499999998</v>
      </c>
      <c r="K755">
        <f t="shared" si="41"/>
        <v>31.966244499999998</v>
      </c>
    </row>
    <row r="756" spans="2:11" x14ac:dyDescent="0.25">
      <c r="B756" s="1">
        <v>45947</v>
      </c>
      <c r="C756" t="s">
        <v>12</v>
      </c>
      <c r="E756" t="s">
        <v>20</v>
      </c>
      <c r="F756">
        <v>23233.1</v>
      </c>
      <c r="G756" t="s">
        <v>320</v>
      </c>
      <c r="H756">
        <f t="shared" si="42"/>
        <v>1.093329999999999</v>
      </c>
      <c r="I756" s="2">
        <v>20.5</v>
      </c>
      <c r="J756">
        <f t="shared" si="40"/>
        <v>22.413264999999981</v>
      </c>
      <c r="K756">
        <f t="shared" si="41"/>
        <v>22.413264999999981</v>
      </c>
    </row>
    <row r="757" spans="2:11" x14ac:dyDescent="0.25">
      <c r="B757" s="1">
        <v>45947</v>
      </c>
      <c r="C757" t="s">
        <v>12</v>
      </c>
      <c r="E757" t="s">
        <v>21</v>
      </c>
      <c r="F757">
        <v>28835.26</v>
      </c>
      <c r="G757" t="s">
        <v>320</v>
      </c>
      <c r="H757">
        <f t="shared" si="42"/>
        <v>2.7739779999999996</v>
      </c>
      <c r="I757" s="2">
        <v>20.5</v>
      </c>
      <c r="J757">
        <f t="shared" si="40"/>
        <v>56.866548999999992</v>
      </c>
      <c r="K757">
        <f t="shared" si="41"/>
        <v>56.866548999999992</v>
      </c>
    </row>
    <row r="758" spans="2:11" x14ac:dyDescent="0.25">
      <c r="B758" s="1">
        <v>45947</v>
      </c>
      <c r="C758" t="s">
        <v>12</v>
      </c>
      <c r="E758" t="s">
        <v>22</v>
      </c>
      <c r="F758">
        <v>21639.41</v>
      </c>
      <c r="G758" t="s">
        <v>320</v>
      </c>
      <c r="H758">
        <f t="shared" si="42"/>
        <v>0.61522299999999941</v>
      </c>
      <c r="I758" s="2">
        <v>20.5</v>
      </c>
      <c r="J758">
        <f t="shared" si="40"/>
        <v>12.612071499999988</v>
      </c>
      <c r="K758">
        <f t="shared" si="41"/>
        <v>12.612071499999988</v>
      </c>
    </row>
    <row r="759" spans="2:11" x14ac:dyDescent="0.25">
      <c r="B759" s="1">
        <v>45947</v>
      </c>
      <c r="C759" t="s">
        <v>12</v>
      </c>
      <c r="E759" t="s">
        <v>23</v>
      </c>
      <c r="F759">
        <v>22345.34</v>
      </c>
      <c r="G759" t="s">
        <v>320</v>
      </c>
      <c r="H759">
        <f t="shared" si="42"/>
        <v>0.82700199999999935</v>
      </c>
      <c r="I759" s="2">
        <v>20.5</v>
      </c>
      <c r="J759">
        <f t="shared" si="40"/>
        <v>16.953540999999987</v>
      </c>
      <c r="K759">
        <f t="shared" si="41"/>
        <v>16.953540999999987</v>
      </c>
    </row>
    <row r="760" spans="2:11" x14ac:dyDescent="0.25">
      <c r="B760" s="1">
        <v>45947</v>
      </c>
      <c r="C760" t="s">
        <v>12</v>
      </c>
      <c r="E760" t="s">
        <v>24</v>
      </c>
      <c r="F760">
        <v>39497.660000000003</v>
      </c>
      <c r="G760" t="s">
        <v>320</v>
      </c>
      <c r="H760">
        <f t="shared" si="42"/>
        <v>5.9726979999999994</v>
      </c>
      <c r="I760" s="2">
        <v>20.5</v>
      </c>
      <c r="J760">
        <f t="shared" si="40"/>
        <v>122.44030899999998</v>
      </c>
      <c r="K760">
        <f t="shared" si="41"/>
        <v>122.44030899999998</v>
      </c>
    </row>
    <row r="761" spans="2:11" x14ac:dyDescent="0.25">
      <c r="B761" s="1">
        <v>45947</v>
      </c>
      <c r="C761" t="s">
        <v>12</v>
      </c>
      <c r="E761" t="s">
        <v>25</v>
      </c>
      <c r="F761">
        <v>40493.83</v>
      </c>
      <c r="G761" t="s">
        <v>320</v>
      </c>
      <c r="H761">
        <f t="shared" si="42"/>
        <v>6.2715490000000003</v>
      </c>
      <c r="I761" s="2">
        <v>20.5</v>
      </c>
      <c r="J761">
        <f t="shared" si="40"/>
        <v>128.5667545</v>
      </c>
      <c r="K761">
        <f t="shared" si="41"/>
        <v>128.5667545</v>
      </c>
    </row>
    <row r="762" spans="2:11" x14ac:dyDescent="0.25">
      <c r="B762" s="1">
        <v>45947</v>
      </c>
      <c r="C762" t="s">
        <v>12</v>
      </c>
      <c r="E762" t="s">
        <v>26</v>
      </c>
      <c r="F762">
        <v>34127.699999999997</v>
      </c>
      <c r="G762" t="s">
        <v>320</v>
      </c>
      <c r="H762">
        <f t="shared" si="42"/>
        <v>4.3617099999999986</v>
      </c>
      <c r="I762" s="2">
        <v>20.5</v>
      </c>
      <c r="J762">
        <f t="shared" si="40"/>
        <v>89.415054999999967</v>
      </c>
      <c r="K762">
        <f t="shared" si="41"/>
        <v>89.415054999999967</v>
      </c>
    </row>
    <row r="763" spans="2:11" x14ac:dyDescent="0.25">
      <c r="B763" s="1">
        <v>45947</v>
      </c>
      <c r="C763" t="s">
        <v>12</v>
      </c>
      <c r="E763" t="s">
        <v>27</v>
      </c>
      <c r="F763">
        <v>24262.9</v>
      </c>
      <c r="G763" t="s">
        <v>320</v>
      </c>
      <c r="H763">
        <f t="shared" si="42"/>
        <v>1.4022699999999997</v>
      </c>
      <c r="I763" s="2">
        <v>20.5</v>
      </c>
      <c r="J763">
        <f t="shared" si="40"/>
        <v>28.746534999999994</v>
      </c>
      <c r="K763">
        <f t="shared" si="41"/>
        <v>28.746534999999994</v>
      </c>
    </row>
    <row r="764" spans="2:11" x14ac:dyDescent="0.25">
      <c r="B764" s="1">
        <v>45947</v>
      </c>
      <c r="C764" t="s">
        <v>12</v>
      </c>
      <c r="E764" t="s">
        <v>28</v>
      </c>
      <c r="F764">
        <v>21266.82</v>
      </c>
      <c r="G764" t="s">
        <v>320</v>
      </c>
      <c r="H764">
        <f t="shared" si="42"/>
        <v>0.50344599999999939</v>
      </c>
      <c r="I764" s="2">
        <v>20.5</v>
      </c>
      <c r="J764">
        <f t="shared" si="40"/>
        <v>10.320642999999988</v>
      </c>
      <c r="K764">
        <f t="shared" si="41"/>
        <v>10.320642999999988</v>
      </c>
    </row>
    <row r="765" spans="2:11" x14ac:dyDescent="0.25">
      <c r="B765" s="1">
        <v>45947</v>
      </c>
      <c r="C765" t="s">
        <v>12</v>
      </c>
      <c r="E765" t="s">
        <v>29</v>
      </c>
      <c r="F765">
        <v>22554.22</v>
      </c>
      <c r="G765" t="s">
        <v>320</v>
      </c>
      <c r="H765">
        <f t="shared" si="42"/>
        <v>0.88966600000000007</v>
      </c>
      <c r="I765" s="2">
        <v>20.5</v>
      </c>
      <c r="J765">
        <f t="shared" si="40"/>
        <v>18.238153000000001</v>
      </c>
      <c r="K765">
        <f t="shared" si="41"/>
        <v>18.238153000000001</v>
      </c>
    </row>
    <row r="766" spans="2:11" x14ac:dyDescent="0.25">
      <c r="B766" s="1">
        <v>45947</v>
      </c>
      <c r="C766" t="s">
        <v>30</v>
      </c>
      <c r="E766" t="s">
        <v>13</v>
      </c>
      <c r="F766">
        <v>51085.3</v>
      </c>
      <c r="G766" t="s">
        <v>320</v>
      </c>
      <c r="H766">
        <f t="shared" si="42"/>
        <v>9.4489900000000002</v>
      </c>
      <c r="I766" s="2">
        <v>20.5</v>
      </c>
      <c r="J766">
        <f t="shared" si="40"/>
        <v>193.704295</v>
      </c>
      <c r="K766">
        <f t="shared" si="41"/>
        <v>193.704295</v>
      </c>
    </row>
    <row r="767" spans="2:11" x14ac:dyDescent="0.25">
      <c r="B767" s="1">
        <v>45947</v>
      </c>
      <c r="C767" t="s">
        <v>30</v>
      </c>
      <c r="E767" t="s">
        <v>14</v>
      </c>
      <c r="F767">
        <v>46750.3</v>
      </c>
      <c r="G767" t="s">
        <v>320</v>
      </c>
      <c r="H767">
        <f t="shared" si="42"/>
        <v>8.1484900000000007</v>
      </c>
      <c r="I767" s="2">
        <v>20.5</v>
      </c>
      <c r="J767">
        <f t="shared" si="40"/>
        <v>167.04404500000001</v>
      </c>
      <c r="K767">
        <f t="shared" si="41"/>
        <v>167.04404500000001</v>
      </c>
    </row>
    <row r="768" spans="2:11" x14ac:dyDescent="0.25">
      <c r="B768" s="1">
        <v>45947</v>
      </c>
      <c r="C768" t="s">
        <v>30</v>
      </c>
      <c r="E768" t="s">
        <v>15</v>
      </c>
      <c r="F768">
        <v>55500.08</v>
      </c>
      <c r="G768" t="s">
        <v>320</v>
      </c>
      <c r="H768">
        <f t="shared" si="42"/>
        <v>10.773423999999999</v>
      </c>
      <c r="I768" s="2">
        <v>20.5</v>
      </c>
      <c r="J768">
        <f t="shared" si="40"/>
        <v>220.85519199999996</v>
      </c>
      <c r="K768">
        <f t="shared" si="41"/>
        <v>220.85519199999996</v>
      </c>
    </row>
    <row r="769" spans="2:11" x14ac:dyDescent="0.25">
      <c r="B769" s="1">
        <v>45947</v>
      </c>
      <c r="C769" t="s">
        <v>30</v>
      </c>
      <c r="E769" t="s">
        <v>16</v>
      </c>
      <c r="F769">
        <v>20760.5</v>
      </c>
      <c r="G769" t="s">
        <v>320</v>
      </c>
      <c r="H769">
        <f t="shared" si="42"/>
        <v>0.35154999999999959</v>
      </c>
      <c r="I769" s="2">
        <v>20.5</v>
      </c>
      <c r="J769">
        <f t="shared" si="40"/>
        <v>7.2067749999999915</v>
      </c>
      <c r="K769">
        <f t="shared" si="41"/>
        <v>7.2067749999999915</v>
      </c>
    </row>
    <row r="770" spans="2:11" x14ac:dyDescent="0.25">
      <c r="B770" s="1">
        <v>45947</v>
      </c>
      <c r="C770" t="s">
        <v>30</v>
      </c>
      <c r="E770" t="s">
        <v>17</v>
      </c>
      <c r="F770">
        <v>25444.87</v>
      </c>
      <c r="G770" t="s">
        <v>320</v>
      </c>
      <c r="H770">
        <f t="shared" si="42"/>
        <v>1.7568609999999989</v>
      </c>
      <c r="I770" s="2">
        <v>20.5</v>
      </c>
      <c r="J770">
        <f t="shared" si="40"/>
        <v>36.015650499999978</v>
      </c>
      <c r="K770">
        <f t="shared" si="41"/>
        <v>36.015650499999978</v>
      </c>
    </row>
    <row r="771" spans="2:11" x14ac:dyDescent="0.25">
      <c r="B771" s="1">
        <v>45947</v>
      </c>
      <c r="C771" t="s">
        <v>30</v>
      </c>
      <c r="E771" t="s">
        <v>12</v>
      </c>
      <c r="F771">
        <v>19051.099999999999</v>
      </c>
      <c r="G771" t="s">
        <v>320</v>
      </c>
      <c r="H771">
        <f t="shared" si="42"/>
        <v>-0.16127000000000091</v>
      </c>
      <c r="I771" s="2">
        <v>20.5</v>
      </c>
      <c r="J771">
        <f t="shared" si="40"/>
        <v>-3.3060350000000187</v>
      </c>
      <c r="K771">
        <f t="shared" si="41"/>
        <v>0</v>
      </c>
    </row>
    <row r="772" spans="2:11" x14ac:dyDescent="0.25">
      <c r="B772" s="1">
        <v>45947</v>
      </c>
      <c r="C772" t="s">
        <v>30</v>
      </c>
      <c r="E772" t="s">
        <v>18</v>
      </c>
      <c r="F772">
        <v>46136.02</v>
      </c>
      <c r="G772" t="s">
        <v>320</v>
      </c>
      <c r="H772">
        <f t="shared" si="42"/>
        <v>7.9642059999999972</v>
      </c>
      <c r="I772" s="2">
        <v>20.5</v>
      </c>
      <c r="J772">
        <f t="shared" si="40"/>
        <v>163.26622299999994</v>
      </c>
      <c r="K772">
        <f t="shared" si="41"/>
        <v>163.26622299999994</v>
      </c>
    </row>
    <row r="773" spans="2:11" x14ac:dyDescent="0.25">
      <c r="B773" s="1">
        <v>45947</v>
      </c>
      <c r="C773" t="s">
        <v>30</v>
      </c>
      <c r="E773" t="s">
        <v>19</v>
      </c>
      <c r="F773">
        <v>36677.29</v>
      </c>
      <c r="G773" t="s">
        <v>320</v>
      </c>
      <c r="H773">
        <f t="shared" si="42"/>
        <v>5.1265869999999989</v>
      </c>
      <c r="I773" s="2">
        <v>20.5</v>
      </c>
      <c r="J773">
        <f t="shared" si="40"/>
        <v>105.09503349999997</v>
      </c>
      <c r="K773">
        <f t="shared" si="41"/>
        <v>105.09503349999997</v>
      </c>
    </row>
    <row r="774" spans="2:11" x14ac:dyDescent="0.25">
      <c r="B774" s="1">
        <v>45947</v>
      </c>
      <c r="C774" t="s">
        <v>30</v>
      </c>
      <c r="E774" t="s">
        <v>20</v>
      </c>
      <c r="F774">
        <v>27477.31</v>
      </c>
      <c r="G774" t="s">
        <v>320</v>
      </c>
      <c r="H774">
        <f t="shared" si="42"/>
        <v>2.3665929999999999</v>
      </c>
      <c r="I774" s="2">
        <v>20.5</v>
      </c>
      <c r="J774">
        <f t="shared" si="40"/>
        <v>48.515156499999996</v>
      </c>
      <c r="K774">
        <f t="shared" si="41"/>
        <v>48.515156499999996</v>
      </c>
    </row>
    <row r="775" spans="2:11" x14ac:dyDescent="0.25">
      <c r="B775" s="1">
        <v>45947</v>
      </c>
      <c r="C775" t="s">
        <v>30</v>
      </c>
      <c r="E775" t="s">
        <v>21</v>
      </c>
      <c r="F775">
        <v>22706.75</v>
      </c>
      <c r="G775" t="s">
        <v>320</v>
      </c>
      <c r="H775">
        <f t="shared" si="42"/>
        <v>0.93542499999999951</v>
      </c>
      <c r="I775" s="2">
        <v>20.5</v>
      </c>
      <c r="J775">
        <f t="shared" si="40"/>
        <v>19.176212499999991</v>
      </c>
      <c r="K775">
        <f t="shared" si="41"/>
        <v>19.176212499999991</v>
      </c>
    </row>
    <row r="776" spans="2:11" x14ac:dyDescent="0.25">
      <c r="B776" s="1">
        <v>45947</v>
      </c>
      <c r="C776" t="s">
        <v>30</v>
      </c>
      <c r="E776" t="s">
        <v>22</v>
      </c>
      <c r="F776">
        <v>22466.33</v>
      </c>
      <c r="G776" t="s">
        <v>320</v>
      </c>
      <c r="H776">
        <f t="shared" si="42"/>
        <v>0.86329900000000048</v>
      </c>
      <c r="I776" s="2">
        <v>20.5</v>
      </c>
      <c r="J776">
        <f t="shared" si="40"/>
        <v>17.697629500000009</v>
      </c>
      <c r="K776">
        <f t="shared" si="41"/>
        <v>17.697629500000009</v>
      </c>
    </row>
    <row r="777" spans="2:11" x14ac:dyDescent="0.25">
      <c r="B777" s="1">
        <v>45947</v>
      </c>
      <c r="C777" t="s">
        <v>30</v>
      </c>
      <c r="E777" t="s">
        <v>23</v>
      </c>
      <c r="F777">
        <v>22766.27</v>
      </c>
      <c r="G777" t="s">
        <v>320</v>
      </c>
      <c r="H777">
        <f t="shared" si="42"/>
        <v>0.9532809999999996</v>
      </c>
      <c r="I777" s="2">
        <v>20.5</v>
      </c>
      <c r="J777">
        <f t="shared" si="40"/>
        <v>19.54226049999999</v>
      </c>
      <c r="K777">
        <f t="shared" si="41"/>
        <v>19.54226049999999</v>
      </c>
    </row>
    <row r="778" spans="2:11" x14ac:dyDescent="0.25">
      <c r="B778" s="1">
        <v>45947</v>
      </c>
      <c r="C778" t="s">
        <v>30</v>
      </c>
      <c r="E778" t="s">
        <v>24</v>
      </c>
      <c r="F778">
        <v>25813.38</v>
      </c>
      <c r="G778" t="s">
        <v>320</v>
      </c>
      <c r="H778">
        <f t="shared" si="42"/>
        <v>1.8674140000000001</v>
      </c>
      <c r="I778" s="2">
        <v>20.5</v>
      </c>
      <c r="J778">
        <f t="shared" si="40"/>
        <v>38.281987000000001</v>
      </c>
      <c r="K778">
        <f t="shared" si="41"/>
        <v>38.281987000000001</v>
      </c>
    </row>
    <row r="779" spans="2:11" x14ac:dyDescent="0.25">
      <c r="B779" s="1">
        <v>45947</v>
      </c>
      <c r="C779" t="s">
        <v>30</v>
      </c>
      <c r="E779" t="s">
        <v>25</v>
      </c>
      <c r="F779">
        <v>27316.29</v>
      </c>
      <c r="G779" t="s">
        <v>320</v>
      </c>
      <c r="H779">
        <f t="shared" si="42"/>
        <v>2.3182869999999998</v>
      </c>
      <c r="I779" s="2">
        <v>20.5</v>
      </c>
      <c r="J779">
        <f t="shared" si="40"/>
        <v>47.524883499999994</v>
      </c>
      <c r="K779">
        <f t="shared" si="41"/>
        <v>47.524883499999994</v>
      </c>
    </row>
    <row r="780" spans="2:11" x14ac:dyDescent="0.25">
      <c r="B780" s="1">
        <v>45947</v>
      </c>
      <c r="C780" t="s">
        <v>30</v>
      </c>
      <c r="E780" t="s">
        <v>26</v>
      </c>
      <c r="F780">
        <v>36671.53</v>
      </c>
      <c r="G780" t="s">
        <v>320</v>
      </c>
      <c r="H780">
        <f t="shared" si="42"/>
        <v>5.1248589999999989</v>
      </c>
      <c r="I780" s="2">
        <v>20.5</v>
      </c>
      <c r="J780">
        <f t="shared" si="40"/>
        <v>105.05960949999998</v>
      </c>
      <c r="K780">
        <f t="shared" si="41"/>
        <v>105.05960949999998</v>
      </c>
    </row>
    <row r="781" spans="2:11" x14ac:dyDescent="0.25">
      <c r="B781" s="1">
        <v>45947</v>
      </c>
      <c r="C781" t="s">
        <v>30</v>
      </c>
      <c r="E781" t="s">
        <v>27</v>
      </c>
      <c r="F781">
        <v>34222.86</v>
      </c>
      <c r="G781" t="s">
        <v>320</v>
      </c>
      <c r="H781">
        <f t="shared" si="42"/>
        <v>4.3902579999999993</v>
      </c>
      <c r="I781" s="2">
        <v>20.5</v>
      </c>
      <c r="J781">
        <f t="shared" si="40"/>
        <v>90.000288999999981</v>
      </c>
      <c r="K781">
        <f t="shared" si="41"/>
        <v>90.000288999999981</v>
      </c>
    </row>
    <row r="782" spans="2:11" x14ac:dyDescent="0.25">
      <c r="B782" s="1">
        <v>45947</v>
      </c>
      <c r="C782" t="s">
        <v>30</v>
      </c>
      <c r="E782" t="s">
        <v>28</v>
      </c>
      <c r="F782">
        <v>44219.47</v>
      </c>
      <c r="G782" t="s">
        <v>320</v>
      </c>
      <c r="H782">
        <f t="shared" si="42"/>
        <v>7.3892410000000002</v>
      </c>
      <c r="I782" s="2">
        <v>20.5</v>
      </c>
      <c r="J782">
        <f t="shared" si="40"/>
        <v>151.47944050000001</v>
      </c>
      <c r="K782">
        <f t="shared" si="41"/>
        <v>151.47944050000001</v>
      </c>
    </row>
    <row r="783" spans="2:11" x14ac:dyDescent="0.25">
      <c r="B783" s="1">
        <v>45947</v>
      </c>
      <c r="C783" t="s">
        <v>30</v>
      </c>
      <c r="E783" t="s">
        <v>29</v>
      </c>
      <c r="F783">
        <v>34727.71</v>
      </c>
      <c r="G783" t="s">
        <v>320</v>
      </c>
      <c r="H783">
        <f t="shared" si="42"/>
        <v>4.5417129999999997</v>
      </c>
      <c r="I783" s="2">
        <v>20.5</v>
      </c>
      <c r="J783">
        <f t="shared" si="40"/>
        <v>93.105116499999994</v>
      </c>
      <c r="K783">
        <f t="shared" si="41"/>
        <v>93.105116499999994</v>
      </c>
    </row>
    <row r="784" spans="2:11" x14ac:dyDescent="0.25">
      <c r="B784" s="1">
        <v>46005</v>
      </c>
      <c r="C784" t="s">
        <v>12</v>
      </c>
      <c r="E784" t="s">
        <v>13</v>
      </c>
      <c r="F784">
        <v>51836.36</v>
      </c>
      <c r="G784" t="s">
        <v>320</v>
      </c>
      <c r="H784">
        <f t="shared" si="42"/>
        <v>9.6743079999999981</v>
      </c>
      <c r="I784" s="2">
        <v>20.5</v>
      </c>
      <c r="J784">
        <f t="shared" si="40"/>
        <v>198.32331399999995</v>
      </c>
      <c r="K784">
        <f t="shared" si="41"/>
        <v>198.32331399999995</v>
      </c>
    </row>
    <row r="785" spans="2:11" x14ac:dyDescent="0.25">
      <c r="B785" s="1">
        <v>46005</v>
      </c>
      <c r="C785" t="s">
        <v>12</v>
      </c>
      <c r="E785" t="s">
        <v>14</v>
      </c>
      <c r="F785">
        <v>416885.88</v>
      </c>
      <c r="G785" t="s">
        <v>320</v>
      </c>
      <c r="H785">
        <f t="shared" si="42"/>
        <v>119.18916399999999</v>
      </c>
      <c r="I785" s="2">
        <v>20.5</v>
      </c>
      <c r="J785">
        <f t="shared" si="40"/>
        <v>2443.3778619999998</v>
      </c>
      <c r="K785">
        <f t="shared" si="41"/>
        <v>2443.3778619999998</v>
      </c>
    </row>
    <row r="786" spans="2:11" x14ac:dyDescent="0.25">
      <c r="B786" s="1">
        <v>46005</v>
      </c>
      <c r="C786" t="s">
        <v>12</v>
      </c>
      <c r="E786" t="s">
        <v>15</v>
      </c>
      <c r="F786">
        <v>169596.34</v>
      </c>
      <c r="G786" t="s">
        <v>320</v>
      </c>
      <c r="H786">
        <f t="shared" si="42"/>
        <v>45.002302</v>
      </c>
      <c r="I786" s="2">
        <v>20.5</v>
      </c>
      <c r="J786">
        <f t="shared" si="40"/>
        <v>922.547191</v>
      </c>
      <c r="K786">
        <f t="shared" si="41"/>
        <v>922.547191</v>
      </c>
    </row>
    <row r="787" spans="2:11" x14ac:dyDescent="0.25">
      <c r="B787" s="1">
        <v>46005</v>
      </c>
      <c r="C787" t="s">
        <v>12</v>
      </c>
      <c r="E787" t="s">
        <v>16</v>
      </c>
      <c r="F787">
        <v>166363.17000000001</v>
      </c>
      <c r="G787" t="s">
        <v>320</v>
      </c>
      <c r="H787">
        <f t="shared" si="42"/>
        <v>44.032351000000006</v>
      </c>
      <c r="I787" s="2">
        <v>20.5</v>
      </c>
      <c r="J787">
        <f t="shared" si="40"/>
        <v>902.66319550000014</v>
      </c>
      <c r="K787">
        <f t="shared" si="41"/>
        <v>902.66319550000014</v>
      </c>
    </row>
    <row r="788" spans="2:11" x14ac:dyDescent="0.25">
      <c r="B788" s="1">
        <v>46005</v>
      </c>
      <c r="C788" t="s">
        <v>12</v>
      </c>
      <c r="E788" t="s">
        <v>17</v>
      </c>
      <c r="F788">
        <v>144577.59</v>
      </c>
      <c r="G788" t="s">
        <v>320</v>
      </c>
      <c r="H788">
        <f t="shared" si="42"/>
        <v>37.496676999999991</v>
      </c>
      <c r="I788" s="2">
        <v>20.5</v>
      </c>
      <c r="J788">
        <f t="shared" si="40"/>
        <v>768.68187849999981</v>
      </c>
      <c r="K788">
        <f t="shared" si="41"/>
        <v>768.68187849999981</v>
      </c>
    </row>
    <row r="789" spans="2:11" x14ac:dyDescent="0.25">
      <c r="B789" s="1">
        <v>46005</v>
      </c>
      <c r="C789" t="s">
        <v>12</v>
      </c>
      <c r="E789" t="s">
        <v>12</v>
      </c>
      <c r="F789">
        <v>142441.88</v>
      </c>
      <c r="G789" t="s">
        <v>320</v>
      </c>
      <c r="H789">
        <f t="shared" si="42"/>
        <v>36.855964</v>
      </c>
      <c r="I789" s="2">
        <v>20.5</v>
      </c>
      <c r="J789">
        <f t="shared" si="40"/>
        <v>755.54726200000005</v>
      </c>
      <c r="K789">
        <f t="shared" si="41"/>
        <v>755.54726200000005</v>
      </c>
    </row>
    <row r="790" spans="2:11" x14ac:dyDescent="0.25">
      <c r="B790" s="1">
        <v>46005</v>
      </c>
      <c r="C790" t="s">
        <v>12</v>
      </c>
      <c r="E790" t="s">
        <v>18</v>
      </c>
      <c r="F790">
        <v>130917.81</v>
      </c>
      <c r="G790" t="s">
        <v>320</v>
      </c>
      <c r="H790">
        <f t="shared" si="42"/>
        <v>33.398742999999996</v>
      </c>
      <c r="I790" s="2">
        <v>20.5</v>
      </c>
      <c r="J790">
        <f t="shared" si="40"/>
        <v>684.67423149999991</v>
      </c>
      <c r="K790">
        <f t="shared" si="41"/>
        <v>684.67423149999991</v>
      </c>
    </row>
    <row r="791" spans="2:11" x14ac:dyDescent="0.25">
      <c r="B791" s="1">
        <v>46005</v>
      </c>
      <c r="C791" t="s">
        <v>12</v>
      </c>
      <c r="E791" t="s">
        <v>19</v>
      </c>
      <c r="F791">
        <v>121055.71</v>
      </c>
      <c r="G791" t="s">
        <v>320</v>
      </c>
      <c r="H791">
        <f t="shared" si="42"/>
        <v>30.440113</v>
      </c>
      <c r="I791" s="2">
        <v>20.5</v>
      </c>
      <c r="J791">
        <f t="shared" si="40"/>
        <v>624.02231649999999</v>
      </c>
      <c r="K791">
        <f t="shared" si="41"/>
        <v>624.02231649999999</v>
      </c>
    </row>
    <row r="792" spans="2:11" x14ac:dyDescent="0.25">
      <c r="B792" s="1">
        <v>46005</v>
      </c>
      <c r="C792" t="s">
        <v>12</v>
      </c>
      <c r="E792" t="s">
        <v>20</v>
      </c>
      <c r="F792">
        <v>131086.48000000001</v>
      </c>
      <c r="G792" t="s">
        <v>320</v>
      </c>
      <c r="H792">
        <f t="shared" si="42"/>
        <v>33.449343999999996</v>
      </c>
      <c r="I792" s="2">
        <v>20.5</v>
      </c>
      <c r="J792">
        <f t="shared" si="40"/>
        <v>685.71155199999998</v>
      </c>
      <c r="K792">
        <f t="shared" si="41"/>
        <v>685.71155199999998</v>
      </c>
    </row>
    <row r="793" spans="2:11" x14ac:dyDescent="0.25">
      <c r="B793" s="1">
        <v>46005</v>
      </c>
      <c r="C793" t="s">
        <v>12</v>
      </c>
      <c r="E793" t="s">
        <v>21</v>
      </c>
      <c r="F793">
        <v>150049.14000000001</v>
      </c>
      <c r="G793" t="s">
        <v>320</v>
      </c>
      <c r="H793">
        <f t="shared" si="42"/>
        <v>39.138142000000002</v>
      </c>
      <c r="I793" s="2">
        <v>20.5</v>
      </c>
      <c r="J793">
        <f t="shared" si="40"/>
        <v>802.33191099999999</v>
      </c>
      <c r="K793">
        <f t="shared" si="41"/>
        <v>802.33191099999999</v>
      </c>
    </row>
    <row r="794" spans="2:11" x14ac:dyDescent="0.25">
      <c r="B794" s="1">
        <v>46005</v>
      </c>
      <c r="C794" t="s">
        <v>12</v>
      </c>
      <c r="E794" t="s">
        <v>22</v>
      </c>
      <c r="F794">
        <v>158215.89000000001</v>
      </c>
      <c r="G794" t="s">
        <v>320</v>
      </c>
      <c r="H794">
        <f t="shared" si="42"/>
        <v>41.588166999999999</v>
      </c>
      <c r="I794" s="2">
        <v>20.5</v>
      </c>
      <c r="J794">
        <f t="shared" si="40"/>
        <v>852.55742349999991</v>
      </c>
      <c r="K794">
        <f t="shared" si="41"/>
        <v>852.55742349999991</v>
      </c>
    </row>
    <row r="795" spans="2:11" x14ac:dyDescent="0.25">
      <c r="B795" s="1">
        <v>46005</v>
      </c>
      <c r="C795" t="s">
        <v>12</v>
      </c>
      <c r="E795" t="s">
        <v>23</v>
      </c>
      <c r="F795">
        <v>147040.91</v>
      </c>
      <c r="G795" t="s">
        <v>320</v>
      </c>
      <c r="H795">
        <f t="shared" si="42"/>
        <v>38.235672999999991</v>
      </c>
      <c r="I795" s="2">
        <v>20.5</v>
      </c>
      <c r="J795">
        <f t="shared" si="40"/>
        <v>783.83129649999978</v>
      </c>
      <c r="K795">
        <f t="shared" si="41"/>
        <v>783.83129649999978</v>
      </c>
    </row>
    <row r="796" spans="2:11" x14ac:dyDescent="0.25">
      <c r="B796" s="1">
        <v>46005</v>
      </c>
      <c r="C796" t="s">
        <v>12</v>
      </c>
      <c r="E796" t="s">
        <v>24</v>
      </c>
      <c r="F796">
        <v>157978.26999999999</v>
      </c>
      <c r="G796" t="s">
        <v>320</v>
      </c>
      <c r="H796">
        <f t="shared" si="42"/>
        <v>41.516880999999998</v>
      </c>
      <c r="I796" s="2">
        <v>20.5</v>
      </c>
      <c r="J796">
        <f t="shared" si="40"/>
        <v>851.09606049999991</v>
      </c>
      <c r="K796">
        <f t="shared" si="41"/>
        <v>851.09606049999991</v>
      </c>
    </row>
    <row r="797" spans="2:11" x14ac:dyDescent="0.25">
      <c r="B797" s="1">
        <v>46005</v>
      </c>
      <c r="C797" t="s">
        <v>12</v>
      </c>
      <c r="E797" t="s">
        <v>25</v>
      </c>
      <c r="F797">
        <v>161044.78</v>
      </c>
      <c r="G797" t="s">
        <v>320</v>
      </c>
      <c r="H797">
        <f t="shared" si="42"/>
        <v>42.43683399999999</v>
      </c>
      <c r="I797" s="2">
        <v>20.5</v>
      </c>
      <c r="J797">
        <f t="shared" si="40"/>
        <v>869.9550969999998</v>
      </c>
      <c r="K797">
        <f t="shared" si="41"/>
        <v>869.9550969999998</v>
      </c>
    </row>
    <row r="798" spans="2:11" x14ac:dyDescent="0.25">
      <c r="B798" s="1">
        <v>46005</v>
      </c>
      <c r="C798" t="s">
        <v>12</v>
      </c>
      <c r="E798" t="s">
        <v>26</v>
      </c>
      <c r="F798">
        <v>158301.56</v>
      </c>
      <c r="G798" t="s">
        <v>320</v>
      </c>
      <c r="H798">
        <f t="shared" si="42"/>
        <v>41.613867999999997</v>
      </c>
      <c r="I798" s="2">
        <v>20.5</v>
      </c>
      <c r="J798">
        <f t="shared" si="40"/>
        <v>853.08429399999989</v>
      </c>
      <c r="K798">
        <f t="shared" si="41"/>
        <v>853.08429399999989</v>
      </c>
    </row>
    <row r="799" spans="2:11" x14ac:dyDescent="0.25">
      <c r="B799" s="1">
        <v>46005</v>
      </c>
      <c r="C799" t="s">
        <v>12</v>
      </c>
      <c r="E799" t="s">
        <v>27</v>
      </c>
      <c r="F799">
        <v>156709.5</v>
      </c>
      <c r="G799" t="s">
        <v>320</v>
      </c>
      <c r="H799">
        <f t="shared" si="42"/>
        <v>41.13624999999999</v>
      </c>
      <c r="I799" s="2">
        <v>20.5</v>
      </c>
      <c r="J799">
        <f t="shared" si="40"/>
        <v>843.2931249999998</v>
      </c>
      <c r="K799">
        <f t="shared" si="41"/>
        <v>843.2931249999998</v>
      </c>
    </row>
    <row r="800" spans="2:11" x14ac:dyDescent="0.25">
      <c r="B800" s="1">
        <v>46005</v>
      </c>
      <c r="C800" t="s">
        <v>12</v>
      </c>
      <c r="E800" t="s">
        <v>28</v>
      </c>
      <c r="F800">
        <v>151612.70000000001</v>
      </c>
      <c r="G800" t="s">
        <v>320</v>
      </c>
      <c r="H800">
        <f t="shared" si="42"/>
        <v>39.607209999999995</v>
      </c>
      <c r="I800" s="2">
        <v>20.5</v>
      </c>
      <c r="J800">
        <f t="shared" si="40"/>
        <v>811.9478049999999</v>
      </c>
      <c r="K800">
        <f t="shared" si="41"/>
        <v>811.9478049999999</v>
      </c>
    </row>
    <row r="801" spans="2:11" x14ac:dyDescent="0.25">
      <c r="B801" s="1">
        <v>46005</v>
      </c>
      <c r="C801" t="s">
        <v>12</v>
      </c>
      <c r="E801" t="s">
        <v>29</v>
      </c>
      <c r="F801">
        <v>154111.82999999999</v>
      </c>
      <c r="G801" t="s">
        <v>320</v>
      </c>
      <c r="H801">
        <f t="shared" si="42"/>
        <v>40.356948999999986</v>
      </c>
      <c r="I801" s="2">
        <v>20.5</v>
      </c>
      <c r="J801">
        <f t="shared" si="40"/>
        <v>827.31745449999971</v>
      </c>
      <c r="K801">
        <f t="shared" si="41"/>
        <v>827.31745449999971</v>
      </c>
    </row>
    <row r="802" spans="2:11" x14ac:dyDescent="0.25">
      <c r="B802" s="1">
        <v>46005</v>
      </c>
      <c r="C802" t="s">
        <v>30</v>
      </c>
      <c r="E802" t="s">
        <v>13</v>
      </c>
      <c r="F802">
        <v>159277.76999999999</v>
      </c>
      <c r="G802" t="s">
        <v>320</v>
      </c>
      <c r="H802">
        <f t="shared" si="42"/>
        <v>41.906730999999994</v>
      </c>
      <c r="I802" s="2">
        <v>20.5</v>
      </c>
      <c r="J802">
        <f t="shared" si="40"/>
        <v>859.08798549999983</v>
      </c>
      <c r="K802">
        <f t="shared" si="41"/>
        <v>859.08798549999983</v>
      </c>
    </row>
    <row r="803" spans="2:11" x14ac:dyDescent="0.25">
      <c r="B803" s="1">
        <v>46005</v>
      </c>
      <c r="C803" t="s">
        <v>30</v>
      </c>
      <c r="E803" t="s">
        <v>14</v>
      </c>
      <c r="F803">
        <v>164444.89000000001</v>
      </c>
      <c r="G803" t="s">
        <v>320</v>
      </c>
      <c r="H803">
        <f t="shared" si="42"/>
        <v>43.456867000000003</v>
      </c>
      <c r="I803" s="2">
        <v>20.5</v>
      </c>
      <c r="J803">
        <f t="shared" si="40"/>
        <v>890.86577350000005</v>
      </c>
      <c r="K803">
        <f t="shared" si="41"/>
        <v>890.86577350000005</v>
      </c>
    </row>
    <row r="804" spans="2:11" x14ac:dyDescent="0.25">
      <c r="B804" s="1">
        <v>46005</v>
      </c>
      <c r="C804" t="s">
        <v>30</v>
      </c>
      <c r="E804" t="s">
        <v>15</v>
      </c>
      <c r="F804">
        <v>163119.57999999999</v>
      </c>
      <c r="G804" t="s">
        <v>320</v>
      </c>
      <c r="H804">
        <f t="shared" si="42"/>
        <v>43.059273999999988</v>
      </c>
      <c r="I804" s="2">
        <v>20.5</v>
      </c>
      <c r="J804">
        <f t="shared" si="40"/>
        <v>882.71511699999974</v>
      </c>
      <c r="K804">
        <f t="shared" si="41"/>
        <v>882.71511699999974</v>
      </c>
    </row>
    <row r="805" spans="2:11" x14ac:dyDescent="0.25">
      <c r="B805" s="1">
        <v>46005</v>
      </c>
      <c r="C805" t="s">
        <v>30</v>
      </c>
      <c r="E805" t="s">
        <v>16</v>
      </c>
      <c r="F805">
        <v>429380.84</v>
      </c>
      <c r="G805" t="s">
        <v>320</v>
      </c>
      <c r="H805">
        <f t="shared" si="42"/>
        <v>122.93765200000001</v>
      </c>
      <c r="I805" s="2">
        <v>20.5</v>
      </c>
      <c r="J805">
        <f t="shared" si="40"/>
        <v>2520.2218660000003</v>
      </c>
      <c r="K805">
        <f t="shared" si="41"/>
        <v>2520.2218660000003</v>
      </c>
    </row>
    <row r="806" spans="2:11" x14ac:dyDescent="0.25">
      <c r="B806" s="1">
        <v>46005</v>
      </c>
      <c r="C806" t="s">
        <v>30</v>
      </c>
      <c r="E806" t="s">
        <v>17</v>
      </c>
      <c r="F806">
        <v>165476.39000000001</v>
      </c>
      <c r="G806" t="s">
        <v>320</v>
      </c>
      <c r="H806">
        <f t="shared" si="42"/>
        <v>43.766317000000001</v>
      </c>
      <c r="I806" s="2">
        <v>20.5</v>
      </c>
      <c r="J806">
        <f t="shared" si="40"/>
        <v>897.2094985</v>
      </c>
      <c r="K806">
        <f t="shared" si="41"/>
        <v>897.2094985</v>
      </c>
    </row>
    <row r="807" spans="2:11" x14ac:dyDescent="0.25">
      <c r="B807" s="1">
        <v>46005</v>
      </c>
      <c r="C807" t="s">
        <v>30</v>
      </c>
      <c r="E807" t="s">
        <v>12</v>
      </c>
      <c r="F807">
        <v>166151.20000000001</v>
      </c>
      <c r="G807" t="s">
        <v>320</v>
      </c>
      <c r="H807">
        <f t="shared" si="42"/>
        <v>43.968760000000003</v>
      </c>
      <c r="I807" s="2">
        <v>20.5</v>
      </c>
      <c r="J807">
        <f t="shared" si="40"/>
        <v>901.35958000000005</v>
      </c>
      <c r="K807">
        <f t="shared" si="41"/>
        <v>901.35958000000005</v>
      </c>
    </row>
    <row r="808" spans="2:11" x14ac:dyDescent="0.25">
      <c r="B808" s="1">
        <v>46005</v>
      </c>
      <c r="C808" t="s">
        <v>30</v>
      </c>
      <c r="E808" t="s">
        <v>18</v>
      </c>
      <c r="F808">
        <v>161382.5</v>
      </c>
      <c r="G808" t="s">
        <v>320</v>
      </c>
      <c r="H808">
        <f t="shared" si="42"/>
        <v>42.538150000000002</v>
      </c>
      <c r="I808" s="2">
        <v>20.5</v>
      </c>
      <c r="J808">
        <f t="shared" si="40"/>
        <v>872.03207500000008</v>
      </c>
      <c r="K808">
        <f t="shared" si="41"/>
        <v>872.03207500000008</v>
      </c>
    </row>
    <row r="809" spans="2:11" x14ac:dyDescent="0.25">
      <c r="B809" s="1">
        <v>46005</v>
      </c>
      <c r="C809" t="s">
        <v>30</v>
      </c>
      <c r="E809" t="s">
        <v>19</v>
      </c>
      <c r="F809">
        <v>150489.59</v>
      </c>
      <c r="G809" t="s">
        <v>320</v>
      </c>
      <c r="H809">
        <f t="shared" si="42"/>
        <v>39.270276999999993</v>
      </c>
      <c r="I809" s="2">
        <v>20.5</v>
      </c>
      <c r="J809">
        <f t="shared" si="40"/>
        <v>805.0406784999999</v>
      </c>
      <c r="K809">
        <f t="shared" si="41"/>
        <v>805.0406784999999</v>
      </c>
    </row>
    <row r="810" spans="2:11" x14ac:dyDescent="0.25">
      <c r="B810" s="1">
        <v>46005</v>
      </c>
      <c r="C810" t="s">
        <v>30</v>
      </c>
      <c r="E810" t="s">
        <v>20</v>
      </c>
      <c r="F810">
        <v>156782.57999999999</v>
      </c>
      <c r="G810" t="s">
        <v>320</v>
      </c>
      <c r="H810">
        <f t="shared" si="42"/>
        <v>41.158173999999988</v>
      </c>
      <c r="I810" s="2">
        <v>20.5</v>
      </c>
      <c r="J810">
        <f t="shared" si="40"/>
        <v>843.74256699999978</v>
      </c>
      <c r="K810">
        <f t="shared" si="41"/>
        <v>843.74256699999978</v>
      </c>
    </row>
    <row r="811" spans="2:11" x14ac:dyDescent="0.25">
      <c r="B811" s="1">
        <v>46005</v>
      </c>
      <c r="C811" t="s">
        <v>30</v>
      </c>
      <c r="E811" t="s">
        <v>21</v>
      </c>
      <c r="F811">
        <v>170958.41</v>
      </c>
      <c r="G811" t="s">
        <v>320</v>
      </c>
      <c r="H811">
        <f t="shared" si="42"/>
        <v>45.410922999999997</v>
      </c>
      <c r="I811" s="2">
        <v>20.5</v>
      </c>
      <c r="J811">
        <f t="shared" si="40"/>
        <v>930.92392149999989</v>
      </c>
      <c r="K811">
        <f t="shared" si="41"/>
        <v>930.92392149999989</v>
      </c>
    </row>
    <row r="812" spans="2:11" x14ac:dyDescent="0.25">
      <c r="B812" s="1">
        <v>46005</v>
      </c>
      <c r="C812" t="s">
        <v>30</v>
      </c>
      <c r="E812" t="s">
        <v>22</v>
      </c>
      <c r="F812">
        <v>22229.68</v>
      </c>
      <c r="G812" t="s">
        <v>320</v>
      </c>
      <c r="H812">
        <f t="shared" si="42"/>
        <v>0.79230399999999968</v>
      </c>
      <c r="I812" s="2">
        <v>20.5</v>
      </c>
      <c r="J812">
        <f t="shared" ref="J812:J875" si="43">H812*I812</f>
        <v>16.242231999999994</v>
      </c>
      <c r="K812">
        <f t="shared" ref="K812:K875" si="44">MAX(J812,0)</f>
        <v>16.242231999999994</v>
      </c>
    </row>
    <row r="813" spans="2:11" x14ac:dyDescent="0.25">
      <c r="B813" s="1">
        <v>46005</v>
      </c>
      <c r="C813" t="s">
        <v>30</v>
      </c>
      <c r="E813" t="s">
        <v>23</v>
      </c>
      <c r="F813">
        <v>23962.94</v>
      </c>
      <c r="G813" t="s">
        <v>320</v>
      </c>
      <c r="H813">
        <f t="shared" ref="H813:H876" si="45">(0.0003*F813)-5.8766</f>
        <v>1.3122819999999988</v>
      </c>
      <c r="I813" s="2">
        <v>20.5</v>
      </c>
      <c r="J813">
        <f t="shared" si="43"/>
        <v>26.901780999999975</v>
      </c>
      <c r="K813">
        <f t="shared" si="44"/>
        <v>26.901780999999975</v>
      </c>
    </row>
    <row r="814" spans="2:11" x14ac:dyDescent="0.25">
      <c r="B814" s="1">
        <v>46005</v>
      </c>
      <c r="C814" t="s">
        <v>30</v>
      </c>
      <c r="E814" t="s">
        <v>24</v>
      </c>
      <c r="F814">
        <v>21428.74</v>
      </c>
      <c r="G814" t="s">
        <v>320</v>
      </c>
      <c r="H814">
        <f t="shared" si="45"/>
        <v>0.55202200000000001</v>
      </c>
      <c r="I814" s="2">
        <v>20.5</v>
      </c>
      <c r="J814">
        <f t="shared" si="43"/>
        <v>11.316451000000001</v>
      </c>
      <c r="K814">
        <f t="shared" si="44"/>
        <v>11.316451000000001</v>
      </c>
    </row>
    <row r="815" spans="2:11" x14ac:dyDescent="0.25">
      <c r="B815" s="1">
        <v>46005</v>
      </c>
      <c r="C815" t="s">
        <v>30</v>
      </c>
      <c r="E815" t="s">
        <v>25</v>
      </c>
      <c r="F815">
        <v>43785.19</v>
      </c>
      <c r="G815" t="s">
        <v>320</v>
      </c>
      <c r="H815">
        <f t="shared" si="45"/>
        <v>7.2589570000000005</v>
      </c>
      <c r="I815" s="2">
        <v>20.5</v>
      </c>
      <c r="J815">
        <f t="shared" si="43"/>
        <v>148.80861850000002</v>
      </c>
      <c r="K815">
        <f t="shared" si="44"/>
        <v>148.80861850000002</v>
      </c>
    </row>
    <row r="816" spans="2:11" x14ac:dyDescent="0.25">
      <c r="B816" s="1">
        <v>46005</v>
      </c>
      <c r="C816" t="s">
        <v>30</v>
      </c>
      <c r="E816" t="s">
        <v>26</v>
      </c>
      <c r="F816">
        <v>17505.54</v>
      </c>
      <c r="G816" t="s">
        <v>320</v>
      </c>
      <c r="H816">
        <f t="shared" si="45"/>
        <v>-0.62493800000000022</v>
      </c>
      <c r="I816" s="2">
        <v>20.5</v>
      </c>
      <c r="J816">
        <f t="shared" si="43"/>
        <v>-12.811229000000004</v>
      </c>
      <c r="K816">
        <f t="shared" si="44"/>
        <v>0</v>
      </c>
    </row>
    <row r="817" spans="2:11" x14ac:dyDescent="0.25">
      <c r="B817" s="1">
        <v>46005</v>
      </c>
      <c r="C817" t="s">
        <v>30</v>
      </c>
      <c r="E817" t="s">
        <v>27</v>
      </c>
      <c r="F817">
        <v>41296.910000000003</v>
      </c>
      <c r="G817" t="s">
        <v>320</v>
      </c>
      <c r="H817">
        <f t="shared" si="45"/>
        <v>6.512473</v>
      </c>
      <c r="I817" s="2">
        <v>20.5</v>
      </c>
      <c r="J817">
        <f t="shared" si="43"/>
        <v>133.5056965</v>
      </c>
      <c r="K817">
        <f t="shared" si="44"/>
        <v>133.5056965</v>
      </c>
    </row>
    <row r="818" spans="2:11" x14ac:dyDescent="0.25">
      <c r="B818" s="1">
        <v>46005</v>
      </c>
      <c r="C818" t="s">
        <v>30</v>
      </c>
      <c r="E818" t="s">
        <v>28</v>
      </c>
      <c r="F818">
        <v>35916.379999999997</v>
      </c>
      <c r="G818" t="s">
        <v>320</v>
      </c>
      <c r="H818">
        <f t="shared" si="45"/>
        <v>4.8983139999999992</v>
      </c>
      <c r="I818" s="2">
        <v>20.5</v>
      </c>
      <c r="J818">
        <f t="shared" si="43"/>
        <v>100.41543699999998</v>
      </c>
      <c r="K818">
        <f t="shared" si="44"/>
        <v>100.41543699999998</v>
      </c>
    </row>
    <row r="819" spans="2:11" x14ac:dyDescent="0.25">
      <c r="B819" s="1">
        <v>46005</v>
      </c>
      <c r="C819" t="s">
        <v>30</v>
      </c>
      <c r="E819" t="s">
        <v>29</v>
      </c>
      <c r="F819">
        <v>34298.5</v>
      </c>
      <c r="G819" t="s">
        <v>320</v>
      </c>
      <c r="H819">
        <f t="shared" si="45"/>
        <v>4.4129499999999986</v>
      </c>
      <c r="I819" s="2">
        <v>20.5</v>
      </c>
      <c r="J819">
        <f t="shared" si="43"/>
        <v>90.465474999999969</v>
      </c>
      <c r="K819">
        <f t="shared" si="44"/>
        <v>90.465474999999969</v>
      </c>
    </row>
    <row r="820" spans="2:11" x14ac:dyDescent="0.25">
      <c r="B820" s="1">
        <v>46004</v>
      </c>
      <c r="C820" t="s">
        <v>93</v>
      </c>
      <c r="E820" t="s">
        <v>73</v>
      </c>
      <c r="F820">
        <v>35419.800000000003</v>
      </c>
      <c r="G820" t="s">
        <v>320</v>
      </c>
      <c r="H820">
        <f t="shared" si="45"/>
        <v>4.7493400000000001</v>
      </c>
      <c r="I820" s="2">
        <v>20.5</v>
      </c>
      <c r="J820">
        <f t="shared" si="43"/>
        <v>97.361469999999997</v>
      </c>
      <c r="K820">
        <f t="shared" si="44"/>
        <v>97.361469999999997</v>
      </c>
    </row>
    <row r="821" spans="2:11" x14ac:dyDescent="0.25">
      <c r="B821" s="1">
        <v>46004</v>
      </c>
      <c r="C821" t="s">
        <v>93</v>
      </c>
      <c r="E821" t="s">
        <v>74</v>
      </c>
      <c r="F821">
        <v>31921.62</v>
      </c>
      <c r="G821" t="s">
        <v>320</v>
      </c>
      <c r="H821">
        <f t="shared" si="45"/>
        <v>3.6998859999999993</v>
      </c>
      <c r="I821" s="2">
        <v>20.5</v>
      </c>
      <c r="J821">
        <f t="shared" si="43"/>
        <v>75.847662999999983</v>
      </c>
      <c r="K821">
        <f t="shared" si="44"/>
        <v>75.847662999999983</v>
      </c>
    </row>
    <row r="822" spans="2:11" x14ac:dyDescent="0.25">
      <c r="B822" s="1">
        <v>46004</v>
      </c>
      <c r="C822" t="s">
        <v>93</v>
      </c>
      <c r="E822" t="s">
        <v>75</v>
      </c>
      <c r="F822">
        <v>27946.76</v>
      </c>
      <c r="G822" t="s">
        <v>320</v>
      </c>
      <c r="H822">
        <f t="shared" si="45"/>
        <v>2.5074279999999991</v>
      </c>
      <c r="I822" s="2">
        <v>20.5</v>
      </c>
      <c r="J822">
        <f t="shared" si="43"/>
        <v>51.402273999999984</v>
      </c>
      <c r="K822">
        <f t="shared" si="44"/>
        <v>51.402273999999984</v>
      </c>
    </row>
    <row r="823" spans="2:11" x14ac:dyDescent="0.25">
      <c r="B823" s="1">
        <v>46004</v>
      </c>
      <c r="C823" t="s">
        <v>93</v>
      </c>
      <c r="E823" t="s">
        <v>76</v>
      </c>
      <c r="F823">
        <v>36259.69</v>
      </c>
      <c r="G823" t="s">
        <v>320</v>
      </c>
      <c r="H823">
        <f t="shared" si="45"/>
        <v>5.0013070000000006</v>
      </c>
      <c r="I823" s="2">
        <v>20.5</v>
      </c>
      <c r="J823">
        <f t="shared" si="43"/>
        <v>102.52679350000001</v>
      </c>
      <c r="K823">
        <f t="shared" si="44"/>
        <v>102.52679350000001</v>
      </c>
    </row>
    <row r="824" spans="2:11" x14ac:dyDescent="0.25">
      <c r="B824" s="1">
        <v>46004</v>
      </c>
      <c r="C824" t="s">
        <v>93</v>
      </c>
      <c r="E824" t="s">
        <v>77</v>
      </c>
      <c r="F824">
        <v>266971.19</v>
      </c>
      <c r="G824" t="s">
        <v>320</v>
      </c>
      <c r="H824">
        <f t="shared" si="45"/>
        <v>74.214756999999992</v>
      </c>
      <c r="I824" s="2">
        <v>20.5</v>
      </c>
      <c r="J824">
        <f t="shared" si="43"/>
        <v>1521.4025184999998</v>
      </c>
      <c r="K824">
        <f t="shared" si="44"/>
        <v>1521.4025184999998</v>
      </c>
    </row>
    <row r="825" spans="2:11" x14ac:dyDescent="0.25">
      <c r="B825" s="1">
        <v>46004</v>
      </c>
      <c r="C825" t="s">
        <v>93</v>
      </c>
      <c r="E825" t="s">
        <v>78</v>
      </c>
      <c r="F825">
        <v>27574.53</v>
      </c>
      <c r="G825" t="s">
        <v>320</v>
      </c>
      <c r="H825">
        <f>(0.0003*F825)-5.8766</f>
        <v>2.395759</v>
      </c>
      <c r="I825" s="2">
        <v>20.5</v>
      </c>
      <c r="J825">
        <f t="shared" si="43"/>
        <v>49.113059499999999</v>
      </c>
      <c r="K825">
        <f t="shared" si="44"/>
        <v>49.113059499999999</v>
      </c>
    </row>
    <row r="826" spans="2:11" x14ac:dyDescent="0.25">
      <c r="B826" s="1">
        <v>46004</v>
      </c>
      <c r="C826" t="s">
        <v>93</v>
      </c>
      <c r="E826" t="s">
        <v>79</v>
      </c>
      <c r="F826">
        <v>29200.84</v>
      </c>
      <c r="G826" t="s">
        <v>320</v>
      </c>
      <c r="H826">
        <f t="shared" si="45"/>
        <v>2.8836519999999997</v>
      </c>
      <c r="I826" s="2">
        <v>20.5</v>
      </c>
      <c r="J826">
        <f t="shared" si="43"/>
        <v>59.114865999999992</v>
      </c>
      <c r="K826">
        <f t="shared" si="44"/>
        <v>59.114865999999992</v>
      </c>
    </row>
    <row r="827" spans="2:11" x14ac:dyDescent="0.25">
      <c r="B827" s="1">
        <v>46004</v>
      </c>
      <c r="C827" t="s">
        <v>93</v>
      </c>
      <c r="E827" t="s">
        <v>80</v>
      </c>
      <c r="F827">
        <v>44985.09</v>
      </c>
      <c r="G827" t="s">
        <v>320</v>
      </c>
      <c r="H827">
        <f t="shared" si="45"/>
        <v>7.6189269999999976</v>
      </c>
      <c r="I827" s="2">
        <v>20.5</v>
      </c>
      <c r="J827">
        <f t="shared" si="43"/>
        <v>156.18800349999995</v>
      </c>
      <c r="K827">
        <f t="shared" si="44"/>
        <v>156.18800349999995</v>
      </c>
    </row>
    <row r="828" spans="2:11" x14ac:dyDescent="0.25">
      <c r="B828" s="1">
        <v>46004</v>
      </c>
      <c r="C828" t="s">
        <v>93</v>
      </c>
      <c r="E828" t="s">
        <v>81</v>
      </c>
      <c r="F828">
        <v>32910.120000000003</v>
      </c>
      <c r="G828" t="s">
        <v>320</v>
      </c>
      <c r="H828">
        <f t="shared" si="45"/>
        <v>3.9964359999999992</v>
      </c>
      <c r="I828" s="2">
        <v>20.5</v>
      </c>
      <c r="J828">
        <f t="shared" si="43"/>
        <v>81.926937999999979</v>
      </c>
      <c r="K828">
        <f t="shared" si="44"/>
        <v>81.926937999999979</v>
      </c>
    </row>
    <row r="829" spans="2:11" x14ac:dyDescent="0.25">
      <c r="B829" s="1">
        <v>46004</v>
      </c>
      <c r="C829" t="s">
        <v>93</v>
      </c>
      <c r="D829" t="s">
        <v>98</v>
      </c>
      <c r="E829" t="s">
        <v>95</v>
      </c>
      <c r="F829">
        <v>70597.320000000007</v>
      </c>
      <c r="G829" t="s">
        <v>320</v>
      </c>
      <c r="H829">
        <f t="shared" si="45"/>
        <v>15.302596000000001</v>
      </c>
      <c r="I829" s="2">
        <v>1</v>
      </c>
      <c r="J829">
        <f t="shared" si="43"/>
        <v>15.302596000000001</v>
      </c>
      <c r="K829">
        <f t="shared" si="44"/>
        <v>15.302596000000001</v>
      </c>
    </row>
    <row r="830" spans="2:11" x14ac:dyDescent="0.25">
      <c r="B830" s="1">
        <v>46004</v>
      </c>
      <c r="C830" t="s">
        <v>93</v>
      </c>
      <c r="D830" t="s">
        <v>98</v>
      </c>
      <c r="E830" t="s">
        <v>96</v>
      </c>
      <c r="F830">
        <v>35606.949999999997</v>
      </c>
      <c r="G830" t="s">
        <v>320</v>
      </c>
      <c r="H830">
        <f t="shared" si="45"/>
        <v>4.8054849999999991</v>
      </c>
      <c r="I830" s="2">
        <v>1</v>
      </c>
      <c r="J830">
        <f t="shared" si="43"/>
        <v>4.8054849999999991</v>
      </c>
      <c r="K830">
        <f t="shared" si="44"/>
        <v>4.8054849999999991</v>
      </c>
    </row>
    <row r="831" spans="2:11" x14ac:dyDescent="0.25">
      <c r="B831" s="1">
        <v>46004</v>
      </c>
      <c r="C831" t="s">
        <v>93</v>
      </c>
      <c r="D831" t="s">
        <v>98</v>
      </c>
      <c r="E831" t="s">
        <v>97</v>
      </c>
      <c r="F831">
        <v>32081.61</v>
      </c>
      <c r="G831" t="s">
        <v>320</v>
      </c>
      <c r="H831">
        <f t="shared" si="45"/>
        <v>3.7478829999999999</v>
      </c>
      <c r="I831" s="2">
        <v>1</v>
      </c>
      <c r="J831">
        <f t="shared" si="43"/>
        <v>3.7478829999999999</v>
      </c>
      <c r="K831">
        <f t="shared" si="44"/>
        <v>3.7478829999999999</v>
      </c>
    </row>
    <row r="832" spans="2:11" x14ac:dyDescent="0.25">
      <c r="B832" s="1">
        <v>46004</v>
      </c>
      <c r="C832" t="s">
        <v>94</v>
      </c>
      <c r="E832" t="s">
        <v>73</v>
      </c>
      <c r="F832">
        <v>46947.78</v>
      </c>
      <c r="G832" t="s">
        <v>320</v>
      </c>
      <c r="H832">
        <f t="shared" si="45"/>
        <v>8.2077339999999985</v>
      </c>
      <c r="I832" s="2">
        <v>20.5</v>
      </c>
      <c r="J832">
        <f t="shared" si="43"/>
        <v>168.25854699999996</v>
      </c>
      <c r="K832">
        <f t="shared" si="44"/>
        <v>168.25854699999996</v>
      </c>
    </row>
    <row r="833" spans="2:11" x14ac:dyDescent="0.25">
      <c r="B833" s="1">
        <v>46004</v>
      </c>
      <c r="C833" t="s">
        <v>94</v>
      </c>
      <c r="E833" t="s">
        <v>74</v>
      </c>
      <c r="F833">
        <v>42382.45</v>
      </c>
      <c r="G833" t="s">
        <v>320</v>
      </c>
      <c r="H833">
        <f t="shared" si="45"/>
        <v>6.8381349999999976</v>
      </c>
      <c r="I833" s="2">
        <v>20.5</v>
      </c>
      <c r="J833">
        <f t="shared" si="43"/>
        <v>140.18176749999995</v>
      </c>
      <c r="K833">
        <f t="shared" si="44"/>
        <v>140.18176749999995</v>
      </c>
    </row>
    <row r="834" spans="2:11" x14ac:dyDescent="0.25">
      <c r="B834" s="1">
        <v>46004</v>
      </c>
      <c r="C834" t="s">
        <v>94</v>
      </c>
      <c r="E834" t="s">
        <v>75</v>
      </c>
      <c r="F834">
        <v>27884.84</v>
      </c>
      <c r="G834" t="s">
        <v>320</v>
      </c>
      <c r="H834">
        <f t="shared" si="45"/>
        <v>2.4888519999999996</v>
      </c>
      <c r="I834" s="2">
        <v>20.5</v>
      </c>
      <c r="J834">
        <f t="shared" si="43"/>
        <v>51.02146599999999</v>
      </c>
      <c r="K834">
        <f t="shared" si="44"/>
        <v>51.02146599999999</v>
      </c>
    </row>
    <row r="835" spans="2:11" x14ac:dyDescent="0.25">
      <c r="B835" s="1">
        <v>46004</v>
      </c>
      <c r="C835" t="s">
        <v>94</v>
      </c>
      <c r="E835" t="s">
        <v>76</v>
      </c>
      <c r="F835">
        <v>38342.33</v>
      </c>
      <c r="G835" t="s">
        <v>320</v>
      </c>
      <c r="H835">
        <f t="shared" si="45"/>
        <v>5.626099</v>
      </c>
      <c r="I835" s="2">
        <v>20.5</v>
      </c>
      <c r="J835">
        <f t="shared" si="43"/>
        <v>115.3350295</v>
      </c>
      <c r="K835">
        <f t="shared" si="44"/>
        <v>115.3350295</v>
      </c>
    </row>
    <row r="836" spans="2:11" x14ac:dyDescent="0.25">
      <c r="B836" s="1">
        <v>46004</v>
      </c>
      <c r="C836" t="s">
        <v>94</v>
      </c>
      <c r="E836" t="s">
        <v>77</v>
      </c>
      <c r="F836">
        <v>32629.52</v>
      </c>
      <c r="G836" t="s">
        <v>320</v>
      </c>
      <c r="H836">
        <f t="shared" si="45"/>
        <v>3.9122559999999993</v>
      </c>
      <c r="I836" s="2">
        <v>20.5</v>
      </c>
      <c r="J836">
        <f t="shared" si="43"/>
        <v>80.201247999999993</v>
      </c>
      <c r="K836">
        <f t="shared" si="44"/>
        <v>80.201247999999993</v>
      </c>
    </row>
    <row r="837" spans="2:11" x14ac:dyDescent="0.25">
      <c r="B837" s="1">
        <v>46004</v>
      </c>
      <c r="C837" t="s">
        <v>94</v>
      </c>
      <c r="E837" t="s">
        <v>78</v>
      </c>
      <c r="F837">
        <v>49111.4</v>
      </c>
      <c r="G837" t="s">
        <v>320</v>
      </c>
      <c r="H837">
        <f t="shared" si="45"/>
        <v>8.856819999999999</v>
      </c>
      <c r="I837" s="2">
        <v>20.5</v>
      </c>
      <c r="J837">
        <f t="shared" si="43"/>
        <v>181.56480999999997</v>
      </c>
      <c r="K837">
        <f t="shared" si="44"/>
        <v>181.56480999999997</v>
      </c>
    </row>
    <row r="838" spans="2:11" x14ac:dyDescent="0.25">
      <c r="B838" s="1">
        <v>46004</v>
      </c>
      <c r="C838" t="s">
        <v>94</v>
      </c>
      <c r="E838" t="s">
        <v>79</v>
      </c>
      <c r="F838">
        <v>33031.1</v>
      </c>
      <c r="G838" t="s">
        <v>320</v>
      </c>
      <c r="H838">
        <f t="shared" si="45"/>
        <v>4.032729999999999</v>
      </c>
      <c r="I838" s="2">
        <v>20.5</v>
      </c>
      <c r="J838">
        <f t="shared" si="43"/>
        <v>82.670964999999981</v>
      </c>
      <c r="K838">
        <f t="shared" si="44"/>
        <v>82.670964999999981</v>
      </c>
    </row>
    <row r="839" spans="2:11" x14ac:dyDescent="0.25">
      <c r="B839" s="1">
        <v>46004</v>
      </c>
      <c r="C839" t="s">
        <v>94</v>
      </c>
      <c r="E839" t="s">
        <v>80</v>
      </c>
      <c r="F839">
        <v>28974.78</v>
      </c>
      <c r="G839" t="s">
        <v>320</v>
      </c>
      <c r="H839">
        <f t="shared" si="45"/>
        <v>2.8158339999999988</v>
      </c>
      <c r="I839" s="2">
        <v>20.5</v>
      </c>
      <c r="J839">
        <f t="shared" si="43"/>
        <v>57.724596999999974</v>
      </c>
      <c r="K839">
        <f t="shared" si="44"/>
        <v>57.724596999999974</v>
      </c>
    </row>
    <row r="840" spans="2:11" x14ac:dyDescent="0.25">
      <c r="B840" s="1">
        <v>46004</v>
      </c>
      <c r="C840" t="s">
        <v>94</v>
      </c>
      <c r="E840" t="s">
        <v>81</v>
      </c>
      <c r="F840">
        <v>26286.28</v>
      </c>
      <c r="G840" t="s">
        <v>320</v>
      </c>
      <c r="H840">
        <f t="shared" si="45"/>
        <v>2.0092839999999992</v>
      </c>
      <c r="I840" s="2">
        <v>20.5</v>
      </c>
      <c r="J840">
        <f t="shared" si="43"/>
        <v>41.190321999999981</v>
      </c>
      <c r="K840">
        <f t="shared" si="44"/>
        <v>41.190321999999981</v>
      </c>
    </row>
    <row r="841" spans="2:11" x14ac:dyDescent="0.25">
      <c r="B841" s="1">
        <v>46004</v>
      </c>
      <c r="C841" t="s">
        <v>94</v>
      </c>
      <c r="D841" t="s">
        <v>98</v>
      </c>
      <c r="E841" t="s">
        <v>95</v>
      </c>
      <c r="F841">
        <v>29085.67</v>
      </c>
      <c r="G841" t="s">
        <v>320</v>
      </c>
      <c r="H841">
        <f t="shared" si="45"/>
        <v>2.8491009999999992</v>
      </c>
      <c r="I841" s="2">
        <v>1</v>
      </c>
      <c r="J841">
        <f t="shared" si="43"/>
        <v>2.8491009999999992</v>
      </c>
      <c r="K841">
        <f t="shared" si="44"/>
        <v>2.8491009999999992</v>
      </c>
    </row>
    <row r="842" spans="2:11" x14ac:dyDescent="0.25">
      <c r="B842" s="1">
        <v>46004</v>
      </c>
      <c r="C842" t="s">
        <v>94</v>
      </c>
      <c r="D842" t="s">
        <v>98</v>
      </c>
      <c r="E842" t="s">
        <v>96</v>
      </c>
      <c r="F842">
        <v>41145.49</v>
      </c>
      <c r="G842" t="s">
        <v>320</v>
      </c>
      <c r="H842">
        <f t="shared" si="45"/>
        <v>6.4670469999999991</v>
      </c>
      <c r="I842" s="2">
        <v>1</v>
      </c>
      <c r="J842">
        <f t="shared" si="43"/>
        <v>6.4670469999999991</v>
      </c>
      <c r="K842">
        <f t="shared" si="44"/>
        <v>6.4670469999999991</v>
      </c>
    </row>
    <row r="843" spans="2:11" x14ac:dyDescent="0.25">
      <c r="B843" s="1">
        <v>46004</v>
      </c>
      <c r="C843" t="s">
        <v>94</v>
      </c>
      <c r="D843" t="s">
        <v>98</v>
      </c>
      <c r="E843" t="s">
        <v>97</v>
      </c>
      <c r="F843">
        <v>40885.08</v>
      </c>
      <c r="G843" t="s">
        <v>320</v>
      </c>
      <c r="H843">
        <f t="shared" si="45"/>
        <v>6.3889239999999994</v>
      </c>
      <c r="I843" s="2">
        <v>1</v>
      </c>
      <c r="J843">
        <f t="shared" si="43"/>
        <v>6.3889239999999994</v>
      </c>
      <c r="K843">
        <f t="shared" si="44"/>
        <v>6.3889239999999994</v>
      </c>
    </row>
    <row r="844" spans="2:11" x14ac:dyDescent="0.25">
      <c r="B844" s="4">
        <v>46080</v>
      </c>
      <c r="C844" t="s">
        <v>12</v>
      </c>
      <c r="E844" t="s">
        <v>13</v>
      </c>
      <c r="F844">
        <v>42059.8</v>
      </c>
      <c r="G844" t="s">
        <v>320</v>
      </c>
      <c r="H844">
        <f t="shared" si="45"/>
        <v>6.7413399999999992</v>
      </c>
      <c r="I844" s="2">
        <v>20.5</v>
      </c>
      <c r="J844">
        <f t="shared" si="43"/>
        <v>138.19746999999998</v>
      </c>
      <c r="K844">
        <f t="shared" si="44"/>
        <v>138.19746999999998</v>
      </c>
    </row>
    <row r="845" spans="2:11" x14ac:dyDescent="0.25">
      <c r="B845" s="4">
        <v>46080</v>
      </c>
      <c r="C845" t="s">
        <v>12</v>
      </c>
      <c r="E845" t="s">
        <v>14</v>
      </c>
      <c r="F845">
        <v>63823.96</v>
      </c>
      <c r="G845" t="s">
        <v>320</v>
      </c>
      <c r="H845">
        <f t="shared" si="45"/>
        <v>13.270587999999996</v>
      </c>
      <c r="I845" s="2">
        <v>20.5</v>
      </c>
      <c r="J845">
        <f t="shared" si="43"/>
        <v>272.04705399999995</v>
      </c>
      <c r="K845">
        <f t="shared" si="44"/>
        <v>272.04705399999995</v>
      </c>
    </row>
    <row r="846" spans="2:11" x14ac:dyDescent="0.25">
      <c r="B846" s="4">
        <v>46080</v>
      </c>
      <c r="C846" t="s">
        <v>12</v>
      </c>
      <c r="E846" t="s">
        <v>15</v>
      </c>
      <c r="F846">
        <v>58853.26</v>
      </c>
      <c r="G846" t="s">
        <v>320</v>
      </c>
      <c r="H846">
        <f t="shared" si="45"/>
        <v>11.779377999999998</v>
      </c>
      <c r="I846" s="2">
        <v>20.5</v>
      </c>
      <c r="J846">
        <f t="shared" si="43"/>
        <v>241.47724899999994</v>
      </c>
      <c r="K846">
        <f t="shared" si="44"/>
        <v>241.47724899999994</v>
      </c>
    </row>
    <row r="847" spans="2:11" x14ac:dyDescent="0.25">
      <c r="B847" s="4">
        <v>46080</v>
      </c>
      <c r="C847" t="s">
        <v>12</v>
      </c>
      <c r="E847" t="s">
        <v>16</v>
      </c>
      <c r="F847">
        <v>46603.12</v>
      </c>
      <c r="G847" t="s">
        <v>320</v>
      </c>
      <c r="H847">
        <f t="shared" si="45"/>
        <v>8.104336</v>
      </c>
      <c r="I847" s="2">
        <v>20.5</v>
      </c>
      <c r="J847">
        <f t="shared" si="43"/>
        <v>166.13888800000001</v>
      </c>
      <c r="K847">
        <f t="shared" si="44"/>
        <v>166.13888800000001</v>
      </c>
    </row>
    <row r="848" spans="2:11" x14ac:dyDescent="0.25">
      <c r="B848" s="4">
        <v>46080</v>
      </c>
      <c r="C848" t="s">
        <v>12</v>
      </c>
      <c r="E848" t="s">
        <v>17</v>
      </c>
      <c r="F848">
        <v>49702.54</v>
      </c>
      <c r="G848" t="s">
        <v>320</v>
      </c>
      <c r="H848">
        <f t="shared" si="45"/>
        <v>9.0341619999999985</v>
      </c>
      <c r="I848" s="2">
        <v>20.5</v>
      </c>
      <c r="J848">
        <f t="shared" si="43"/>
        <v>185.20032099999997</v>
      </c>
      <c r="K848">
        <f t="shared" si="44"/>
        <v>185.20032099999997</v>
      </c>
    </row>
    <row r="849" spans="2:11" x14ac:dyDescent="0.25">
      <c r="B849" s="4">
        <v>46080</v>
      </c>
      <c r="C849" t="s">
        <v>12</v>
      </c>
      <c r="E849" t="s">
        <v>12</v>
      </c>
      <c r="F849">
        <v>39720.29</v>
      </c>
      <c r="G849" t="s">
        <v>320</v>
      </c>
      <c r="H849">
        <f t="shared" si="45"/>
        <v>6.0394869999999994</v>
      </c>
      <c r="I849" s="2">
        <v>20.5</v>
      </c>
      <c r="J849">
        <f t="shared" si="43"/>
        <v>123.80948349999998</v>
      </c>
      <c r="K849">
        <f t="shared" si="44"/>
        <v>123.80948349999998</v>
      </c>
    </row>
    <row r="850" spans="2:11" x14ac:dyDescent="0.25">
      <c r="B850" s="4">
        <v>46080</v>
      </c>
      <c r="C850" t="s">
        <v>12</v>
      </c>
      <c r="E850" t="s">
        <v>18</v>
      </c>
      <c r="F850">
        <v>26190.02</v>
      </c>
      <c r="G850" t="s">
        <v>320</v>
      </c>
      <c r="H850">
        <f t="shared" si="45"/>
        <v>1.9804059999999994</v>
      </c>
      <c r="I850" s="2">
        <v>20.5</v>
      </c>
      <c r="J850">
        <f t="shared" si="43"/>
        <v>40.598322999999986</v>
      </c>
      <c r="K850">
        <f t="shared" si="44"/>
        <v>40.598322999999986</v>
      </c>
    </row>
    <row r="851" spans="2:11" x14ac:dyDescent="0.25">
      <c r="B851" s="4">
        <v>46080</v>
      </c>
      <c r="C851" t="s">
        <v>12</v>
      </c>
      <c r="E851" t="s">
        <v>19</v>
      </c>
      <c r="F851">
        <v>30835.14</v>
      </c>
      <c r="G851" t="s">
        <v>320</v>
      </c>
      <c r="H851">
        <f t="shared" si="45"/>
        <v>3.3739419999999996</v>
      </c>
      <c r="I851" s="2">
        <v>20.5</v>
      </c>
      <c r="J851">
        <f t="shared" si="43"/>
        <v>69.165810999999991</v>
      </c>
      <c r="K851">
        <f t="shared" si="44"/>
        <v>69.165810999999991</v>
      </c>
    </row>
    <row r="852" spans="2:11" x14ac:dyDescent="0.25">
      <c r="B852" s="4">
        <v>46080</v>
      </c>
      <c r="C852" t="s">
        <v>12</v>
      </c>
      <c r="E852" t="s">
        <v>20</v>
      </c>
      <c r="F852">
        <v>404106.53</v>
      </c>
      <c r="G852" t="s">
        <v>320</v>
      </c>
      <c r="H852">
        <f t="shared" si="45"/>
        <v>115.35535900000001</v>
      </c>
      <c r="I852" s="2">
        <v>20.5</v>
      </c>
      <c r="J852">
        <f t="shared" si="43"/>
        <v>2364.7848595</v>
      </c>
      <c r="K852">
        <f t="shared" si="44"/>
        <v>2364.7848595</v>
      </c>
    </row>
    <row r="853" spans="2:11" x14ac:dyDescent="0.25">
      <c r="B853" s="4">
        <v>46080</v>
      </c>
      <c r="C853" t="s">
        <v>12</v>
      </c>
      <c r="E853" t="s">
        <v>21</v>
      </c>
      <c r="F853">
        <v>40874.660000000003</v>
      </c>
      <c r="G853" t="s">
        <v>320</v>
      </c>
      <c r="H853">
        <f t="shared" si="45"/>
        <v>6.3857979999999994</v>
      </c>
      <c r="I853" s="2">
        <v>20.5</v>
      </c>
      <c r="J853">
        <f t="shared" si="43"/>
        <v>130.90885899999998</v>
      </c>
      <c r="K853">
        <f t="shared" si="44"/>
        <v>130.90885899999998</v>
      </c>
    </row>
    <row r="854" spans="2:11" x14ac:dyDescent="0.25">
      <c r="B854" s="4">
        <v>46080</v>
      </c>
      <c r="C854" t="s">
        <v>12</v>
      </c>
      <c r="E854" t="s">
        <v>22</v>
      </c>
      <c r="F854">
        <v>72520.91</v>
      </c>
      <c r="G854" t="s">
        <v>320</v>
      </c>
      <c r="H854">
        <f t="shared" si="45"/>
        <v>15.879673</v>
      </c>
      <c r="I854" s="2">
        <v>20.5</v>
      </c>
      <c r="J854">
        <f t="shared" si="43"/>
        <v>325.53329650000001</v>
      </c>
      <c r="K854">
        <f t="shared" si="44"/>
        <v>325.53329650000001</v>
      </c>
    </row>
    <row r="855" spans="2:11" x14ac:dyDescent="0.25">
      <c r="B855" s="4">
        <v>46080</v>
      </c>
      <c r="C855" t="s">
        <v>12</v>
      </c>
      <c r="E855" t="s">
        <v>23</v>
      </c>
      <c r="F855">
        <v>44549.41</v>
      </c>
      <c r="G855" t="s">
        <v>320</v>
      </c>
      <c r="H855">
        <f t="shared" si="45"/>
        <v>7.4882229999999996</v>
      </c>
      <c r="I855" s="2">
        <v>20.5</v>
      </c>
      <c r="J855">
        <f t="shared" si="43"/>
        <v>153.50857149999999</v>
      </c>
      <c r="K855">
        <f t="shared" si="44"/>
        <v>153.50857149999999</v>
      </c>
    </row>
    <row r="856" spans="2:11" x14ac:dyDescent="0.25">
      <c r="B856" s="4">
        <v>46080</v>
      </c>
      <c r="C856" t="s">
        <v>12</v>
      </c>
      <c r="E856" t="s">
        <v>24</v>
      </c>
      <c r="F856">
        <v>45609.17</v>
      </c>
      <c r="G856" t="s">
        <v>320</v>
      </c>
      <c r="H856">
        <f t="shared" si="45"/>
        <v>7.8061509999999981</v>
      </c>
      <c r="I856" s="2">
        <v>20.5</v>
      </c>
      <c r="J856">
        <f t="shared" si="43"/>
        <v>160.02609549999997</v>
      </c>
      <c r="K856">
        <f t="shared" si="44"/>
        <v>160.02609549999997</v>
      </c>
    </row>
    <row r="857" spans="2:11" x14ac:dyDescent="0.25">
      <c r="B857" s="4">
        <v>46080</v>
      </c>
      <c r="C857" t="s">
        <v>12</v>
      </c>
      <c r="E857" t="s">
        <v>25</v>
      </c>
      <c r="F857">
        <v>43426.28</v>
      </c>
      <c r="G857" t="s">
        <v>320</v>
      </c>
      <c r="H857">
        <f t="shared" si="45"/>
        <v>7.1512839999999986</v>
      </c>
      <c r="I857" s="2">
        <v>20.5</v>
      </c>
      <c r="J857">
        <f t="shared" si="43"/>
        <v>146.60132199999998</v>
      </c>
      <c r="K857">
        <f t="shared" si="44"/>
        <v>146.60132199999998</v>
      </c>
    </row>
    <row r="858" spans="2:11" x14ac:dyDescent="0.25">
      <c r="B858" s="4">
        <v>46080</v>
      </c>
      <c r="C858" t="s">
        <v>12</v>
      </c>
      <c r="E858" t="s">
        <v>26</v>
      </c>
      <c r="F858">
        <v>31812.49</v>
      </c>
      <c r="G858" t="s">
        <v>320</v>
      </c>
      <c r="H858">
        <f t="shared" si="45"/>
        <v>3.6671469999999999</v>
      </c>
      <c r="I858" s="2">
        <v>20.5</v>
      </c>
      <c r="J858">
        <f t="shared" si="43"/>
        <v>75.176513499999999</v>
      </c>
      <c r="K858">
        <f t="shared" si="44"/>
        <v>75.176513499999999</v>
      </c>
    </row>
    <row r="859" spans="2:11" x14ac:dyDescent="0.25">
      <c r="B859" s="4">
        <v>46080</v>
      </c>
      <c r="C859" t="s">
        <v>12</v>
      </c>
      <c r="E859" t="s">
        <v>27</v>
      </c>
      <c r="F859">
        <v>30114.06</v>
      </c>
      <c r="G859" t="s">
        <v>320</v>
      </c>
      <c r="H859">
        <f t="shared" si="45"/>
        <v>3.1576179999999994</v>
      </c>
      <c r="I859" s="2">
        <v>20.5</v>
      </c>
      <c r="J859">
        <f t="shared" si="43"/>
        <v>64.731168999999994</v>
      </c>
      <c r="K859">
        <f t="shared" si="44"/>
        <v>64.731168999999994</v>
      </c>
    </row>
    <row r="860" spans="2:11" x14ac:dyDescent="0.25">
      <c r="B860" s="4">
        <v>46080</v>
      </c>
      <c r="C860" t="s">
        <v>12</v>
      </c>
      <c r="E860" t="s">
        <v>28</v>
      </c>
      <c r="F860">
        <v>29177.34</v>
      </c>
      <c r="G860" t="s">
        <v>320</v>
      </c>
      <c r="H860">
        <f t="shared" si="45"/>
        <v>2.8766020000000001</v>
      </c>
      <c r="I860" s="2">
        <v>20.5</v>
      </c>
      <c r="J860">
        <f t="shared" si="43"/>
        <v>58.970341000000005</v>
      </c>
      <c r="K860">
        <f t="shared" si="44"/>
        <v>58.970341000000005</v>
      </c>
    </row>
    <row r="861" spans="2:11" x14ac:dyDescent="0.25">
      <c r="B861" s="4">
        <v>46080</v>
      </c>
      <c r="C861" t="s">
        <v>12</v>
      </c>
      <c r="E861" t="s">
        <v>29</v>
      </c>
      <c r="F861">
        <v>46842.19</v>
      </c>
      <c r="G861" t="s">
        <v>320</v>
      </c>
      <c r="H861">
        <f t="shared" si="45"/>
        <v>8.1760570000000001</v>
      </c>
      <c r="I861" s="2">
        <v>20.5</v>
      </c>
      <c r="J861">
        <f t="shared" si="43"/>
        <v>167.60916850000001</v>
      </c>
      <c r="K861">
        <f t="shared" si="44"/>
        <v>167.60916850000001</v>
      </c>
    </row>
    <row r="862" spans="2:11" x14ac:dyDescent="0.25">
      <c r="B862" s="4">
        <v>46080</v>
      </c>
      <c r="C862" t="s">
        <v>30</v>
      </c>
      <c r="E862" t="s">
        <v>13</v>
      </c>
      <c r="F862">
        <v>41647.14</v>
      </c>
      <c r="G862" t="s">
        <v>320</v>
      </c>
      <c r="H862">
        <f t="shared" si="45"/>
        <v>6.6175419999999985</v>
      </c>
      <c r="I862" s="2">
        <v>20.5</v>
      </c>
      <c r="J862">
        <f t="shared" si="43"/>
        <v>135.65961099999996</v>
      </c>
      <c r="K862">
        <f t="shared" si="44"/>
        <v>135.65961099999996</v>
      </c>
    </row>
    <row r="863" spans="2:11" x14ac:dyDescent="0.25">
      <c r="B863" s="4">
        <v>46080</v>
      </c>
      <c r="C863" t="s">
        <v>30</v>
      </c>
      <c r="E863" t="s">
        <v>14</v>
      </c>
      <c r="F863">
        <v>40716.400000000001</v>
      </c>
      <c r="G863" t="s">
        <v>320</v>
      </c>
      <c r="H863">
        <f t="shared" si="45"/>
        <v>6.3383199999999995</v>
      </c>
      <c r="I863" s="2">
        <v>20.5</v>
      </c>
      <c r="J863">
        <f t="shared" si="43"/>
        <v>129.93555999999998</v>
      </c>
      <c r="K863">
        <f t="shared" si="44"/>
        <v>129.93555999999998</v>
      </c>
    </row>
    <row r="864" spans="2:11" x14ac:dyDescent="0.25">
      <c r="B864" s="4">
        <v>46080</v>
      </c>
      <c r="C864" t="s">
        <v>30</v>
      </c>
      <c r="E864" t="s">
        <v>15</v>
      </c>
      <c r="F864">
        <v>47591.7</v>
      </c>
      <c r="G864" t="s">
        <v>320</v>
      </c>
      <c r="H864">
        <f t="shared" si="45"/>
        <v>8.4009099999999979</v>
      </c>
      <c r="I864" s="2">
        <v>20.5</v>
      </c>
      <c r="J864">
        <f t="shared" si="43"/>
        <v>172.21865499999996</v>
      </c>
      <c r="K864">
        <f t="shared" si="44"/>
        <v>172.21865499999996</v>
      </c>
    </row>
    <row r="865" spans="2:11" x14ac:dyDescent="0.25">
      <c r="B865" s="4">
        <v>46080</v>
      </c>
      <c r="C865" t="s">
        <v>30</v>
      </c>
      <c r="E865" t="s">
        <v>16</v>
      </c>
      <c r="F865">
        <v>51007.41</v>
      </c>
      <c r="G865" t="s">
        <v>320</v>
      </c>
      <c r="H865">
        <f t="shared" si="45"/>
        <v>9.4256229999999999</v>
      </c>
      <c r="I865" s="2">
        <v>20.5</v>
      </c>
      <c r="J865">
        <f t="shared" si="43"/>
        <v>193.22527149999999</v>
      </c>
      <c r="K865">
        <f t="shared" si="44"/>
        <v>193.22527149999999</v>
      </c>
    </row>
    <row r="866" spans="2:11" x14ac:dyDescent="0.25">
      <c r="B866" s="4">
        <v>46080</v>
      </c>
      <c r="C866" t="s">
        <v>30</v>
      </c>
      <c r="E866" t="s">
        <v>17</v>
      </c>
      <c r="F866">
        <v>33604.18</v>
      </c>
      <c r="G866" t="s">
        <v>320</v>
      </c>
      <c r="H866">
        <f t="shared" si="45"/>
        <v>4.2046539999999997</v>
      </c>
      <c r="I866" s="2">
        <v>20.5</v>
      </c>
      <c r="J866">
        <f t="shared" si="43"/>
        <v>86.195406999999989</v>
      </c>
      <c r="K866">
        <f t="shared" si="44"/>
        <v>86.195406999999989</v>
      </c>
    </row>
    <row r="867" spans="2:11" x14ac:dyDescent="0.25">
      <c r="B867" s="4">
        <v>46080</v>
      </c>
      <c r="C867" t="s">
        <v>30</v>
      </c>
      <c r="E867" t="s">
        <v>12</v>
      </c>
      <c r="F867">
        <v>32742.2</v>
      </c>
      <c r="G867" t="s">
        <v>320</v>
      </c>
      <c r="H867">
        <f t="shared" si="45"/>
        <v>3.9460599999999992</v>
      </c>
      <c r="I867" s="2">
        <v>20.5</v>
      </c>
      <c r="J867">
        <f t="shared" si="43"/>
        <v>80.894229999999979</v>
      </c>
      <c r="K867">
        <f t="shared" si="44"/>
        <v>80.894229999999979</v>
      </c>
    </row>
    <row r="868" spans="2:11" x14ac:dyDescent="0.25">
      <c r="B868" s="4">
        <v>46080</v>
      </c>
      <c r="C868" t="s">
        <v>30</v>
      </c>
      <c r="E868" t="s">
        <v>18</v>
      </c>
      <c r="F868">
        <v>45207.02</v>
      </c>
      <c r="G868" t="s">
        <v>320</v>
      </c>
      <c r="H868">
        <f t="shared" si="45"/>
        <v>7.6855059999999984</v>
      </c>
      <c r="I868" s="2">
        <v>20.5</v>
      </c>
      <c r="J868">
        <f t="shared" si="43"/>
        <v>157.55287299999998</v>
      </c>
      <c r="K868">
        <f t="shared" si="44"/>
        <v>157.55287299999998</v>
      </c>
    </row>
    <row r="869" spans="2:11" x14ac:dyDescent="0.25">
      <c r="B869" s="4">
        <v>46080</v>
      </c>
      <c r="C869" t="s">
        <v>30</v>
      </c>
      <c r="E869" t="s">
        <v>19</v>
      </c>
      <c r="F869">
        <v>47932.11</v>
      </c>
      <c r="G869" t="s">
        <v>320</v>
      </c>
      <c r="H869">
        <f t="shared" si="45"/>
        <v>8.5030329999999985</v>
      </c>
      <c r="I869" s="2">
        <v>20.5</v>
      </c>
      <c r="J869">
        <f t="shared" si="43"/>
        <v>174.31217649999996</v>
      </c>
      <c r="K869">
        <f t="shared" si="44"/>
        <v>174.31217649999996</v>
      </c>
    </row>
    <row r="870" spans="2:11" x14ac:dyDescent="0.25">
      <c r="B870" s="4">
        <v>46080</v>
      </c>
      <c r="C870" t="s">
        <v>30</v>
      </c>
      <c r="E870" t="s">
        <v>20</v>
      </c>
      <c r="F870">
        <v>107851.59</v>
      </c>
      <c r="G870" t="s">
        <v>320</v>
      </c>
      <c r="H870">
        <f t="shared" si="45"/>
        <v>26.478876999999994</v>
      </c>
      <c r="I870" s="2">
        <v>20.5</v>
      </c>
      <c r="J870">
        <f t="shared" si="43"/>
        <v>542.81697849999989</v>
      </c>
      <c r="K870">
        <f t="shared" si="44"/>
        <v>542.81697849999989</v>
      </c>
    </row>
    <row r="871" spans="2:11" x14ac:dyDescent="0.25">
      <c r="B871" s="4">
        <v>46080</v>
      </c>
      <c r="C871" t="s">
        <v>30</v>
      </c>
      <c r="E871" t="s">
        <v>21</v>
      </c>
      <c r="F871">
        <v>35379.839999999997</v>
      </c>
      <c r="G871" t="s">
        <v>320</v>
      </c>
      <c r="H871">
        <f t="shared" si="45"/>
        <v>4.7373519999999978</v>
      </c>
      <c r="I871" s="2">
        <v>20.5</v>
      </c>
      <c r="J871">
        <f t="shared" si="43"/>
        <v>97.115715999999949</v>
      </c>
      <c r="K871">
        <f t="shared" si="44"/>
        <v>97.115715999999949</v>
      </c>
    </row>
    <row r="872" spans="2:11" x14ac:dyDescent="0.25">
      <c r="B872" s="4">
        <v>46080</v>
      </c>
      <c r="C872" t="s">
        <v>30</v>
      </c>
      <c r="E872" t="s">
        <v>22</v>
      </c>
      <c r="F872">
        <v>30376.15</v>
      </c>
      <c r="G872" t="s">
        <v>320</v>
      </c>
      <c r="H872">
        <f t="shared" si="45"/>
        <v>3.2362450000000003</v>
      </c>
      <c r="I872" s="2">
        <v>20.5</v>
      </c>
      <c r="J872">
        <f t="shared" si="43"/>
        <v>66.343022500000004</v>
      </c>
      <c r="K872">
        <f t="shared" si="44"/>
        <v>66.343022500000004</v>
      </c>
    </row>
    <row r="873" spans="2:11" x14ac:dyDescent="0.25">
      <c r="B873" s="4">
        <v>46080</v>
      </c>
      <c r="C873" t="s">
        <v>30</v>
      </c>
      <c r="E873" t="s">
        <v>23</v>
      </c>
      <c r="F873">
        <v>33509.57</v>
      </c>
      <c r="G873" t="s">
        <v>320</v>
      </c>
      <c r="H873">
        <f t="shared" si="45"/>
        <v>4.1762709999999998</v>
      </c>
      <c r="I873" s="2">
        <v>20.5</v>
      </c>
      <c r="J873">
        <f t="shared" si="43"/>
        <v>85.61355549999999</v>
      </c>
      <c r="K873">
        <f t="shared" si="44"/>
        <v>85.61355549999999</v>
      </c>
    </row>
    <row r="874" spans="2:11" x14ac:dyDescent="0.25">
      <c r="B874" s="4">
        <v>46080</v>
      </c>
      <c r="C874" t="s">
        <v>30</v>
      </c>
      <c r="E874" t="s">
        <v>24</v>
      </c>
      <c r="F874">
        <v>36285.910000000003</v>
      </c>
      <c r="G874" t="s">
        <v>320</v>
      </c>
      <c r="H874">
        <f t="shared" si="45"/>
        <v>5.0091730000000005</v>
      </c>
      <c r="I874" s="2">
        <v>20.5</v>
      </c>
      <c r="J874">
        <f t="shared" si="43"/>
        <v>102.68804650000001</v>
      </c>
      <c r="K874">
        <f t="shared" si="44"/>
        <v>102.68804650000001</v>
      </c>
    </row>
    <row r="875" spans="2:11" x14ac:dyDescent="0.25">
      <c r="B875" s="4">
        <v>46080</v>
      </c>
      <c r="C875" t="s">
        <v>30</v>
      </c>
      <c r="E875" t="s">
        <v>25</v>
      </c>
      <c r="F875">
        <v>36129.9</v>
      </c>
      <c r="G875" t="s">
        <v>320</v>
      </c>
      <c r="H875">
        <f t="shared" si="45"/>
        <v>4.9623699999999999</v>
      </c>
      <c r="I875" s="2">
        <v>20.5</v>
      </c>
      <c r="J875">
        <f t="shared" si="43"/>
        <v>101.728585</v>
      </c>
      <c r="K875">
        <f t="shared" si="44"/>
        <v>101.728585</v>
      </c>
    </row>
    <row r="876" spans="2:11" x14ac:dyDescent="0.25">
      <c r="B876" s="4">
        <v>46080</v>
      </c>
      <c r="C876" t="s">
        <v>30</v>
      </c>
      <c r="E876" t="s">
        <v>26</v>
      </c>
      <c r="F876">
        <v>49601.41</v>
      </c>
      <c r="G876" t="s">
        <v>320</v>
      </c>
      <c r="H876">
        <f t="shared" si="45"/>
        <v>9.0038230000000006</v>
      </c>
      <c r="I876" s="2">
        <v>20.5</v>
      </c>
      <c r="J876">
        <f t="shared" ref="J876:J939" si="46">H876*I876</f>
        <v>184.5783715</v>
      </c>
      <c r="K876">
        <f t="shared" ref="K876:K939" si="47">MAX(J876,0)</f>
        <v>184.5783715</v>
      </c>
    </row>
    <row r="877" spans="2:11" x14ac:dyDescent="0.25">
      <c r="B877" s="4">
        <v>46080</v>
      </c>
      <c r="C877" t="s">
        <v>30</v>
      </c>
      <c r="E877" t="s">
        <v>27</v>
      </c>
      <c r="F877">
        <v>48026.36</v>
      </c>
      <c r="G877" t="s">
        <v>320</v>
      </c>
      <c r="H877">
        <f t="shared" ref="H877:H940" si="48">(0.0003*F877)-5.8766</f>
        <v>8.5313079999999992</v>
      </c>
      <c r="I877" s="2">
        <v>20.5</v>
      </c>
      <c r="J877">
        <f t="shared" si="46"/>
        <v>174.89181399999998</v>
      </c>
      <c r="K877">
        <f t="shared" si="47"/>
        <v>174.89181399999998</v>
      </c>
    </row>
    <row r="878" spans="2:11" x14ac:dyDescent="0.25">
      <c r="B878" s="4">
        <v>46080</v>
      </c>
      <c r="C878" t="s">
        <v>30</v>
      </c>
      <c r="E878" t="s">
        <v>28</v>
      </c>
      <c r="F878">
        <v>39455.93</v>
      </c>
      <c r="G878" t="s">
        <v>320</v>
      </c>
      <c r="H878">
        <f t="shared" si="48"/>
        <v>5.9601789999999983</v>
      </c>
      <c r="I878" s="2">
        <v>20.5</v>
      </c>
      <c r="J878">
        <f t="shared" si="46"/>
        <v>122.18366949999997</v>
      </c>
      <c r="K878">
        <f t="shared" si="47"/>
        <v>122.18366949999997</v>
      </c>
    </row>
    <row r="879" spans="2:11" x14ac:dyDescent="0.25">
      <c r="B879" s="4">
        <v>46080</v>
      </c>
      <c r="C879" t="s">
        <v>30</v>
      </c>
      <c r="E879" t="s">
        <v>29</v>
      </c>
      <c r="F879">
        <v>40537.17</v>
      </c>
      <c r="G879" t="s">
        <v>320</v>
      </c>
      <c r="H879">
        <f t="shared" si="48"/>
        <v>6.2845509999999987</v>
      </c>
      <c r="I879" s="2">
        <v>20.5</v>
      </c>
      <c r="J879">
        <f t="shared" si="46"/>
        <v>128.83329549999996</v>
      </c>
      <c r="K879">
        <f t="shared" si="47"/>
        <v>128.83329549999996</v>
      </c>
    </row>
    <row r="880" spans="2:11" x14ac:dyDescent="0.25">
      <c r="B880" s="4">
        <v>46081</v>
      </c>
      <c r="C880" t="s">
        <v>99</v>
      </c>
      <c r="E880" t="s">
        <v>73</v>
      </c>
      <c r="F880">
        <v>30244.49</v>
      </c>
      <c r="G880" t="s">
        <v>320</v>
      </c>
      <c r="H880">
        <f t="shared" si="48"/>
        <v>3.1967470000000002</v>
      </c>
      <c r="I880" s="2">
        <v>20.5</v>
      </c>
      <c r="J880">
        <f t="shared" si="46"/>
        <v>65.533313500000006</v>
      </c>
      <c r="K880">
        <f t="shared" si="47"/>
        <v>65.533313500000006</v>
      </c>
    </row>
    <row r="881" spans="2:11" x14ac:dyDescent="0.25">
      <c r="B881" s="4">
        <v>46081</v>
      </c>
      <c r="C881" t="s">
        <v>99</v>
      </c>
      <c r="E881" t="s">
        <v>74</v>
      </c>
      <c r="F881">
        <v>33290.769999999997</v>
      </c>
      <c r="G881" t="s">
        <v>320</v>
      </c>
      <c r="H881">
        <f t="shared" si="48"/>
        <v>4.1106309999999979</v>
      </c>
      <c r="I881" s="2">
        <v>20.5</v>
      </c>
      <c r="J881">
        <f t="shared" si="46"/>
        <v>84.267935499999965</v>
      </c>
      <c r="K881">
        <f t="shared" si="47"/>
        <v>84.267935499999965</v>
      </c>
    </row>
    <row r="882" spans="2:11" x14ac:dyDescent="0.25">
      <c r="B882" s="4">
        <v>46081</v>
      </c>
      <c r="C882" t="s">
        <v>99</v>
      </c>
      <c r="E882" t="s">
        <v>75</v>
      </c>
      <c r="F882">
        <v>30725.439999999999</v>
      </c>
      <c r="G882" t="s">
        <v>320</v>
      </c>
      <c r="H882">
        <f t="shared" si="48"/>
        <v>3.3410319999999984</v>
      </c>
      <c r="I882" s="2">
        <v>20.5</v>
      </c>
      <c r="J882">
        <f t="shared" si="46"/>
        <v>68.491155999999961</v>
      </c>
      <c r="K882">
        <f t="shared" si="47"/>
        <v>68.491155999999961</v>
      </c>
    </row>
    <row r="883" spans="2:11" x14ac:dyDescent="0.25">
      <c r="B883" s="4">
        <v>46081</v>
      </c>
      <c r="C883" t="s">
        <v>99</v>
      </c>
      <c r="E883" t="s">
        <v>76</v>
      </c>
      <c r="F883">
        <v>29047.84</v>
      </c>
      <c r="G883" t="s">
        <v>320</v>
      </c>
      <c r="H883">
        <f t="shared" si="48"/>
        <v>2.8377520000000001</v>
      </c>
      <c r="I883" s="2">
        <v>20.5</v>
      </c>
      <c r="J883">
        <f t="shared" si="46"/>
        <v>58.173915999999998</v>
      </c>
      <c r="K883">
        <f t="shared" si="47"/>
        <v>58.173915999999998</v>
      </c>
    </row>
    <row r="884" spans="2:11" x14ac:dyDescent="0.25">
      <c r="B884" s="4">
        <v>46081</v>
      </c>
      <c r="C884" t="s">
        <v>99</v>
      </c>
      <c r="E884" t="s">
        <v>77</v>
      </c>
      <c r="F884">
        <v>30047.86</v>
      </c>
      <c r="G884" t="s">
        <v>320</v>
      </c>
      <c r="H884">
        <f t="shared" si="48"/>
        <v>3.1377579999999998</v>
      </c>
      <c r="I884" s="2">
        <v>20.5</v>
      </c>
      <c r="J884">
        <f t="shared" si="46"/>
        <v>64.324038999999999</v>
      </c>
      <c r="K884">
        <f t="shared" si="47"/>
        <v>64.324038999999999</v>
      </c>
    </row>
    <row r="885" spans="2:11" x14ac:dyDescent="0.25">
      <c r="B885" s="4">
        <v>46081</v>
      </c>
      <c r="C885" t="s">
        <v>99</v>
      </c>
      <c r="E885" t="s">
        <v>78</v>
      </c>
      <c r="F885">
        <v>25239.55</v>
      </c>
      <c r="G885" t="s">
        <v>320</v>
      </c>
      <c r="H885">
        <f t="shared" si="48"/>
        <v>1.6952649999999991</v>
      </c>
      <c r="I885" s="2">
        <v>20.5</v>
      </c>
      <c r="J885">
        <f t="shared" si="46"/>
        <v>34.752932499999986</v>
      </c>
      <c r="K885">
        <f t="shared" si="47"/>
        <v>34.752932499999986</v>
      </c>
    </row>
    <row r="886" spans="2:11" x14ac:dyDescent="0.25">
      <c r="B886" s="4">
        <v>46081</v>
      </c>
      <c r="C886" t="s">
        <v>99</v>
      </c>
      <c r="E886" t="s">
        <v>79</v>
      </c>
      <c r="F886">
        <v>28840.28</v>
      </c>
      <c r="G886" t="s">
        <v>320</v>
      </c>
      <c r="H886">
        <f t="shared" si="48"/>
        <v>2.7754839999999987</v>
      </c>
      <c r="I886" s="2">
        <v>20.5</v>
      </c>
      <c r="J886">
        <f t="shared" si="46"/>
        <v>56.897421999999978</v>
      </c>
      <c r="K886">
        <f t="shared" si="47"/>
        <v>56.897421999999978</v>
      </c>
    </row>
    <row r="887" spans="2:11" x14ac:dyDescent="0.25">
      <c r="B887" s="4">
        <v>46081</v>
      </c>
      <c r="C887" t="s">
        <v>99</v>
      </c>
      <c r="E887" t="s">
        <v>80</v>
      </c>
      <c r="F887">
        <v>31653.33</v>
      </c>
      <c r="G887" t="s">
        <v>320</v>
      </c>
      <c r="H887">
        <f t="shared" si="48"/>
        <v>3.6193989999999996</v>
      </c>
      <c r="I887" s="2">
        <v>20.5</v>
      </c>
      <c r="J887">
        <f t="shared" si="46"/>
        <v>74.197679499999992</v>
      </c>
      <c r="K887">
        <f t="shared" si="47"/>
        <v>74.197679499999992</v>
      </c>
    </row>
    <row r="888" spans="2:11" x14ac:dyDescent="0.25">
      <c r="B888" s="4">
        <v>46081</v>
      </c>
      <c r="C888" t="s">
        <v>99</v>
      </c>
      <c r="E888" t="s">
        <v>81</v>
      </c>
      <c r="F888">
        <v>33840.400000000001</v>
      </c>
      <c r="G888" t="s">
        <v>320</v>
      </c>
      <c r="H888">
        <f t="shared" si="48"/>
        <v>4.2755200000000002</v>
      </c>
      <c r="I888" s="2">
        <v>20.5</v>
      </c>
      <c r="J888">
        <f t="shared" si="46"/>
        <v>87.648160000000004</v>
      </c>
      <c r="K888">
        <f t="shared" si="47"/>
        <v>87.648160000000004</v>
      </c>
    </row>
    <row r="889" spans="2:11" x14ac:dyDescent="0.25">
      <c r="B889" s="4">
        <v>46081</v>
      </c>
      <c r="C889" t="s">
        <v>99</v>
      </c>
      <c r="D889" t="s">
        <v>98</v>
      </c>
      <c r="E889" t="s">
        <v>95</v>
      </c>
      <c r="F889">
        <v>27148.39</v>
      </c>
      <c r="G889" t="s">
        <v>320</v>
      </c>
      <c r="H889">
        <f t="shared" si="48"/>
        <v>2.2679169999999989</v>
      </c>
      <c r="I889" s="2">
        <v>1</v>
      </c>
      <c r="J889">
        <f t="shared" si="46"/>
        <v>2.2679169999999989</v>
      </c>
      <c r="K889">
        <f t="shared" si="47"/>
        <v>2.2679169999999989</v>
      </c>
    </row>
    <row r="890" spans="2:11" x14ac:dyDescent="0.25">
      <c r="B890" s="4">
        <v>46081</v>
      </c>
      <c r="C890" t="s">
        <v>99</v>
      </c>
      <c r="D890" t="s">
        <v>98</v>
      </c>
      <c r="E890" t="s">
        <v>96</v>
      </c>
      <c r="F890">
        <v>28637.58</v>
      </c>
      <c r="G890" t="s">
        <v>320</v>
      </c>
      <c r="H890">
        <f t="shared" si="48"/>
        <v>2.7146740000000005</v>
      </c>
      <c r="I890" s="2">
        <v>1</v>
      </c>
      <c r="J890">
        <f t="shared" si="46"/>
        <v>2.7146740000000005</v>
      </c>
      <c r="K890">
        <f t="shared" si="47"/>
        <v>2.7146740000000005</v>
      </c>
    </row>
    <row r="891" spans="2:11" x14ac:dyDescent="0.25">
      <c r="B891" s="4">
        <v>46081</v>
      </c>
      <c r="C891" t="s">
        <v>99</v>
      </c>
      <c r="D891" t="s">
        <v>98</v>
      </c>
      <c r="E891" t="s">
        <v>97</v>
      </c>
      <c r="F891">
        <v>25599.29</v>
      </c>
      <c r="G891" t="s">
        <v>320</v>
      </c>
      <c r="H891">
        <f t="shared" si="48"/>
        <v>1.8031869999999994</v>
      </c>
      <c r="I891" s="2">
        <v>1</v>
      </c>
      <c r="J891">
        <f t="shared" si="46"/>
        <v>1.8031869999999994</v>
      </c>
      <c r="K891">
        <f t="shared" si="47"/>
        <v>1.8031869999999994</v>
      </c>
    </row>
    <row r="892" spans="2:11" x14ac:dyDescent="0.25">
      <c r="B892" s="4">
        <v>46081</v>
      </c>
      <c r="C892" t="s">
        <v>100</v>
      </c>
      <c r="E892" t="s">
        <v>73</v>
      </c>
      <c r="F892">
        <v>31137.63</v>
      </c>
      <c r="G892" t="s">
        <v>320</v>
      </c>
      <c r="H892">
        <f t="shared" si="48"/>
        <v>3.4646889999999999</v>
      </c>
      <c r="I892" s="2">
        <v>20.5</v>
      </c>
      <c r="J892">
        <f t="shared" si="46"/>
        <v>71.026124499999995</v>
      </c>
      <c r="K892">
        <f t="shared" si="47"/>
        <v>71.026124499999995</v>
      </c>
    </row>
    <row r="893" spans="2:11" x14ac:dyDescent="0.25">
      <c r="B893" s="4">
        <v>46081</v>
      </c>
      <c r="C893" t="s">
        <v>100</v>
      </c>
      <c r="E893" t="s">
        <v>74</v>
      </c>
      <c r="F893">
        <v>72594.47</v>
      </c>
      <c r="G893" t="s">
        <v>320</v>
      </c>
      <c r="H893">
        <f t="shared" si="48"/>
        <v>15.901740999999998</v>
      </c>
      <c r="I893" s="2">
        <v>20.5</v>
      </c>
      <c r="J893">
        <f t="shared" si="46"/>
        <v>325.98569049999998</v>
      </c>
      <c r="K893">
        <f t="shared" si="47"/>
        <v>325.98569049999998</v>
      </c>
    </row>
    <row r="894" spans="2:11" x14ac:dyDescent="0.25">
      <c r="B894" s="4">
        <v>46081</v>
      </c>
      <c r="C894" t="s">
        <v>100</v>
      </c>
      <c r="E894" t="s">
        <v>75</v>
      </c>
      <c r="F894">
        <v>29438.39</v>
      </c>
      <c r="G894" t="s">
        <v>320</v>
      </c>
      <c r="H894">
        <f t="shared" si="48"/>
        <v>2.954917</v>
      </c>
      <c r="I894" s="2">
        <v>20.5</v>
      </c>
      <c r="J894">
        <f t="shared" si="46"/>
        <v>60.575798499999998</v>
      </c>
      <c r="K894">
        <f t="shared" si="47"/>
        <v>60.575798499999998</v>
      </c>
    </row>
    <row r="895" spans="2:11" x14ac:dyDescent="0.25">
      <c r="B895" s="4">
        <v>46081</v>
      </c>
      <c r="C895" t="s">
        <v>100</v>
      </c>
      <c r="E895" t="s">
        <v>76</v>
      </c>
      <c r="F895">
        <v>26466.49</v>
      </c>
      <c r="G895" t="s">
        <v>320</v>
      </c>
      <c r="H895">
        <f t="shared" si="48"/>
        <v>2.0633470000000003</v>
      </c>
      <c r="I895" s="2">
        <v>20.5</v>
      </c>
      <c r="J895">
        <f t="shared" si="46"/>
        <v>42.298613500000002</v>
      </c>
      <c r="K895">
        <f t="shared" si="47"/>
        <v>42.298613500000002</v>
      </c>
    </row>
    <row r="896" spans="2:11" x14ac:dyDescent="0.25">
      <c r="B896" s="4">
        <v>46081</v>
      </c>
      <c r="C896" t="s">
        <v>100</v>
      </c>
      <c r="E896" t="s">
        <v>77</v>
      </c>
      <c r="F896">
        <v>29305.66</v>
      </c>
      <c r="G896" t="s">
        <v>320</v>
      </c>
      <c r="H896">
        <f t="shared" si="48"/>
        <v>2.9150979999999986</v>
      </c>
      <c r="I896" s="2">
        <v>20.5</v>
      </c>
      <c r="J896">
        <f t="shared" si="46"/>
        <v>59.759508999999973</v>
      </c>
      <c r="K896">
        <f t="shared" si="47"/>
        <v>59.759508999999973</v>
      </c>
    </row>
    <row r="897" spans="2:11" x14ac:dyDescent="0.25">
      <c r="B897" s="4">
        <v>46081</v>
      </c>
      <c r="C897" t="s">
        <v>100</v>
      </c>
      <c r="E897" t="s">
        <v>78</v>
      </c>
      <c r="F897">
        <v>29358.02</v>
      </c>
      <c r="G897" t="s">
        <v>320</v>
      </c>
      <c r="H897">
        <f t="shared" si="48"/>
        <v>2.9308059999999987</v>
      </c>
      <c r="I897" s="2">
        <v>20.5</v>
      </c>
      <c r="J897">
        <f t="shared" si="46"/>
        <v>60.081522999999976</v>
      </c>
      <c r="K897">
        <f t="shared" si="47"/>
        <v>60.081522999999976</v>
      </c>
    </row>
    <row r="898" spans="2:11" x14ac:dyDescent="0.25">
      <c r="B898" s="4">
        <v>46081</v>
      </c>
      <c r="C898" t="s">
        <v>100</v>
      </c>
      <c r="E898" t="s">
        <v>79</v>
      </c>
      <c r="F898">
        <v>32232.68</v>
      </c>
      <c r="G898" t="s">
        <v>320</v>
      </c>
      <c r="H898">
        <f t="shared" si="48"/>
        <v>3.7932039999999994</v>
      </c>
      <c r="I898" s="2">
        <v>20.5</v>
      </c>
      <c r="J898">
        <f t="shared" si="46"/>
        <v>77.760681999999989</v>
      </c>
      <c r="K898">
        <f t="shared" si="47"/>
        <v>77.760681999999989</v>
      </c>
    </row>
    <row r="899" spans="2:11" x14ac:dyDescent="0.25">
      <c r="B899" s="4">
        <v>46081</v>
      </c>
      <c r="C899" t="s">
        <v>100</v>
      </c>
      <c r="E899" t="s">
        <v>80</v>
      </c>
      <c r="F899">
        <v>32272.959999999999</v>
      </c>
      <c r="G899" t="s">
        <v>320</v>
      </c>
      <c r="H899">
        <f t="shared" si="48"/>
        <v>3.8052879999999991</v>
      </c>
      <c r="I899" s="2">
        <v>20.5</v>
      </c>
      <c r="J899">
        <f t="shared" si="46"/>
        <v>78.008403999999985</v>
      </c>
      <c r="K899">
        <f t="shared" si="47"/>
        <v>78.008403999999985</v>
      </c>
    </row>
    <row r="900" spans="2:11" x14ac:dyDescent="0.25">
      <c r="B900" s="4">
        <v>46081</v>
      </c>
      <c r="C900" t="s">
        <v>100</v>
      </c>
      <c r="E900" t="s">
        <v>81</v>
      </c>
      <c r="F900">
        <v>27652.22</v>
      </c>
      <c r="G900" t="s">
        <v>320</v>
      </c>
      <c r="H900">
        <f t="shared" si="48"/>
        <v>2.4190659999999991</v>
      </c>
      <c r="I900" s="2">
        <v>20.5</v>
      </c>
      <c r="J900">
        <f t="shared" si="46"/>
        <v>49.590852999999981</v>
      </c>
      <c r="K900">
        <f t="shared" si="47"/>
        <v>49.590852999999981</v>
      </c>
    </row>
    <row r="901" spans="2:11" x14ac:dyDescent="0.25">
      <c r="B901" s="4">
        <v>46081</v>
      </c>
      <c r="C901" t="s">
        <v>100</v>
      </c>
      <c r="D901" t="s">
        <v>98</v>
      </c>
      <c r="E901" t="s">
        <v>95</v>
      </c>
      <c r="F901">
        <v>24766.03</v>
      </c>
      <c r="G901" t="s">
        <v>320</v>
      </c>
      <c r="H901">
        <f t="shared" si="48"/>
        <v>1.553208999999999</v>
      </c>
      <c r="I901" s="2">
        <v>1</v>
      </c>
      <c r="J901">
        <f t="shared" si="46"/>
        <v>1.553208999999999</v>
      </c>
      <c r="K901">
        <f t="shared" si="47"/>
        <v>1.553208999999999</v>
      </c>
    </row>
    <row r="902" spans="2:11" x14ac:dyDescent="0.25">
      <c r="B902" s="4">
        <v>46081</v>
      </c>
      <c r="C902" t="s">
        <v>100</v>
      </c>
      <c r="D902" t="s">
        <v>98</v>
      </c>
      <c r="E902" t="s">
        <v>96</v>
      </c>
      <c r="F902">
        <v>24544.5</v>
      </c>
      <c r="G902" t="s">
        <v>320</v>
      </c>
      <c r="H902">
        <f t="shared" si="48"/>
        <v>1.4867499999999998</v>
      </c>
      <c r="I902" s="2">
        <v>1</v>
      </c>
      <c r="J902">
        <f t="shared" si="46"/>
        <v>1.4867499999999998</v>
      </c>
      <c r="K902">
        <f t="shared" si="47"/>
        <v>1.4867499999999998</v>
      </c>
    </row>
    <row r="903" spans="2:11" x14ac:dyDescent="0.25">
      <c r="B903" s="4">
        <v>46081</v>
      </c>
      <c r="C903" t="s">
        <v>100</v>
      </c>
      <c r="D903" t="s">
        <v>98</v>
      </c>
      <c r="E903" t="s">
        <v>97</v>
      </c>
      <c r="F903">
        <v>23590.07</v>
      </c>
      <c r="G903" t="s">
        <v>320</v>
      </c>
      <c r="H903">
        <f t="shared" si="48"/>
        <v>1.2004209999999995</v>
      </c>
      <c r="I903" s="2">
        <v>1</v>
      </c>
      <c r="J903">
        <f t="shared" si="46"/>
        <v>1.2004209999999995</v>
      </c>
      <c r="K903">
        <f t="shared" si="47"/>
        <v>1.2004209999999995</v>
      </c>
    </row>
    <row r="904" spans="2:11" x14ac:dyDescent="0.25">
      <c r="B904" s="1">
        <v>46141</v>
      </c>
      <c r="C904" t="s">
        <v>12</v>
      </c>
      <c r="E904" t="s">
        <v>13</v>
      </c>
      <c r="F904">
        <v>29767.68</v>
      </c>
      <c r="G904" t="s">
        <v>320</v>
      </c>
      <c r="H904">
        <f t="shared" si="48"/>
        <v>3.0537039999999998</v>
      </c>
      <c r="I904" s="2">
        <v>20.5</v>
      </c>
      <c r="J904">
        <f t="shared" si="46"/>
        <v>62.600931999999993</v>
      </c>
      <c r="K904">
        <f t="shared" si="47"/>
        <v>62.600931999999993</v>
      </c>
    </row>
    <row r="905" spans="2:11" x14ac:dyDescent="0.25">
      <c r="B905" s="1">
        <v>46141</v>
      </c>
      <c r="C905" t="s">
        <v>12</v>
      </c>
      <c r="E905" t="s">
        <v>14</v>
      </c>
      <c r="F905">
        <v>29145.11</v>
      </c>
      <c r="G905" t="s">
        <v>320</v>
      </c>
      <c r="H905">
        <f t="shared" si="48"/>
        <v>2.8669329999999995</v>
      </c>
      <c r="I905" s="2">
        <v>20.5</v>
      </c>
      <c r="J905">
        <f t="shared" si="46"/>
        <v>58.772126499999992</v>
      </c>
      <c r="K905">
        <f t="shared" si="47"/>
        <v>58.772126499999992</v>
      </c>
    </row>
    <row r="906" spans="2:11" x14ac:dyDescent="0.25">
      <c r="B906" s="1">
        <v>46141</v>
      </c>
      <c r="C906" t="s">
        <v>12</v>
      </c>
      <c r="E906" t="s">
        <v>15</v>
      </c>
      <c r="F906">
        <v>31364.87</v>
      </c>
      <c r="G906" t="s">
        <v>320</v>
      </c>
      <c r="H906">
        <f t="shared" si="48"/>
        <v>3.5328609999999987</v>
      </c>
      <c r="I906" s="2">
        <v>20.5</v>
      </c>
      <c r="J906">
        <f t="shared" si="46"/>
        <v>72.42365049999998</v>
      </c>
      <c r="K906">
        <f t="shared" si="47"/>
        <v>72.42365049999998</v>
      </c>
    </row>
    <row r="907" spans="2:11" x14ac:dyDescent="0.25">
      <c r="B907" s="1">
        <v>46141</v>
      </c>
      <c r="C907" t="s">
        <v>12</v>
      </c>
      <c r="E907" t="s">
        <v>16</v>
      </c>
      <c r="F907">
        <v>37068.71</v>
      </c>
      <c r="G907" t="s">
        <v>320</v>
      </c>
      <c r="H907">
        <f t="shared" si="48"/>
        <v>5.2440129999999989</v>
      </c>
      <c r="I907" s="2">
        <v>20.5</v>
      </c>
      <c r="J907">
        <f t="shared" si="46"/>
        <v>107.50226649999998</v>
      </c>
      <c r="K907">
        <f t="shared" si="47"/>
        <v>107.50226649999998</v>
      </c>
    </row>
    <row r="908" spans="2:11" x14ac:dyDescent="0.25">
      <c r="B908" s="1">
        <v>46141</v>
      </c>
      <c r="C908" t="s">
        <v>12</v>
      </c>
      <c r="E908" t="s">
        <v>17</v>
      </c>
      <c r="F908">
        <v>33955.339999999997</v>
      </c>
      <c r="G908" t="s">
        <v>320</v>
      </c>
      <c r="H908">
        <f t="shared" si="48"/>
        <v>4.310001999999999</v>
      </c>
      <c r="I908" s="2">
        <v>20.5</v>
      </c>
      <c r="J908">
        <f t="shared" si="46"/>
        <v>88.355040999999986</v>
      </c>
      <c r="K908">
        <f t="shared" si="47"/>
        <v>88.355040999999986</v>
      </c>
    </row>
    <row r="909" spans="2:11" x14ac:dyDescent="0.25">
      <c r="B909" s="1">
        <v>46141</v>
      </c>
      <c r="C909" t="s">
        <v>12</v>
      </c>
      <c r="E909" t="s">
        <v>12</v>
      </c>
      <c r="F909">
        <v>32779.879999999997</v>
      </c>
      <c r="G909" t="s">
        <v>320</v>
      </c>
      <c r="H909">
        <f t="shared" si="48"/>
        <v>3.9573639999999983</v>
      </c>
      <c r="I909" s="2">
        <v>20.5</v>
      </c>
      <c r="J909">
        <f t="shared" si="46"/>
        <v>81.125961999999959</v>
      </c>
      <c r="K909">
        <f t="shared" si="47"/>
        <v>81.125961999999959</v>
      </c>
    </row>
    <row r="910" spans="2:11" x14ac:dyDescent="0.25">
      <c r="B910" s="1">
        <v>46141</v>
      </c>
      <c r="C910" t="s">
        <v>12</v>
      </c>
      <c r="E910" t="s">
        <v>19</v>
      </c>
      <c r="F910">
        <v>39744.06</v>
      </c>
      <c r="G910" t="s">
        <v>320</v>
      </c>
      <c r="H910">
        <f t="shared" si="48"/>
        <v>6.0466179999999987</v>
      </c>
      <c r="I910" s="2">
        <v>20.5</v>
      </c>
      <c r="J910">
        <f t="shared" si="46"/>
        <v>123.95566899999997</v>
      </c>
      <c r="K910">
        <f t="shared" si="47"/>
        <v>123.95566899999997</v>
      </c>
    </row>
    <row r="911" spans="2:11" x14ac:dyDescent="0.25">
      <c r="B911" s="1">
        <v>46141</v>
      </c>
      <c r="C911" t="s">
        <v>12</v>
      </c>
      <c r="E911" t="s">
        <v>20</v>
      </c>
      <c r="F911">
        <v>32811.910000000003</v>
      </c>
      <c r="G911" t="s">
        <v>320</v>
      </c>
      <c r="H911">
        <f t="shared" si="48"/>
        <v>3.9669730000000012</v>
      </c>
      <c r="I911" s="2">
        <v>20.5</v>
      </c>
      <c r="J911">
        <f t="shared" si="46"/>
        <v>81.322946500000029</v>
      </c>
      <c r="K911">
        <f t="shared" si="47"/>
        <v>81.322946500000029</v>
      </c>
    </row>
    <row r="912" spans="2:11" x14ac:dyDescent="0.25">
      <c r="B912" s="1">
        <v>46141</v>
      </c>
      <c r="C912" t="s">
        <v>12</v>
      </c>
      <c r="E912" t="s">
        <v>21</v>
      </c>
      <c r="F912">
        <v>37682.75</v>
      </c>
      <c r="G912" t="s">
        <v>320</v>
      </c>
      <c r="H912">
        <f t="shared" si="48"/>
        <v>5.4282249999999994</v>
      </c>
      <c r="I912" s="2">
        <v>20.5</v>
      </c>
      <c r="J912">
        <f t="shared" si="46"/>
        <v>111.27861249999999</v>
      </c>
      <c r="K912">
        <f t="shared" si="47"/>
        <v>111.27861249999999</v>
      </c>
    </row>
    <row r="913" spans="2:11" x14ac:dyDescent="0.25">
      <c r="B913" s="1">
        <v>46141</v>
      </c>
      <c r="C913" t="s">
        <v>12</v>
      </c>
      <c r="E913" t="s">
        <v>22</v>
      </c>
      <c r="F913">
        <v>27944.01</v>
      </c>
      <c r="G913" t="s">
        <v>320</v>
      </c>
      <c r="H913">
        <f t="shared" si="48"/>
        <v>2.5066029999999984</v>
      </c>
      <c r="I913" s="2">
        <v>20.5</v>
      </c>
      <c r="J913">
        <f t="shared" si="46"/>
        <v>51.385361499999966</v>
      </c>
      <c r="K913">
        <f t="shared" si="47"/>
        <v>51.385361499999966</v>
      </c>
    </row>
    <row r="914" spans="2:11" x14ac:dyDescent="0.25">
      <c r="B914" s="1">
        <v>46141</v>
      </c>
      <c r="C914" t="s">
        <v>12</v>
      </c>
      <c r="E914" t="s">
        <v>23</v>
      </c>
      <c r="F914">
        <v>32028.32</v>
      </c>
      <c r="G914" t="s">
        <v>320</v>
      </c>
      <c r="H914">
        <f t="shared" si="48"/>
        <v>3.731895999999999</v>
      </c>
      <c r="I914" s="2">
        <v>20.5</v>
      </c>
      <c r="J914">
        <f t="shared" si="46"/>
        <v>76.503867999999983</v>
      </c>
      <c r="K914">
        <f t="shared" si="47"/>
        <v>76.503867999999983</v>
      </c>
    </row>
    <row r="915" spans="2:11" x14ac:dyDescent="0.25">
      <c r="B915" s="1">
        <v>46141</v>
      </c>
      <c r="C915" t="s">
        <v>12</v>
      </c>
      <c r="E915" t="s">
        <v>24</v>
      </c>
      <c r="F915">
        <v>80254.559999999998</v>
      </c>
      <c r="G915" t="s">
        <v>320</v>
      </c>
      <c r="H915">
        <f t="shared" si="48"/>
        <v>18.199767999999999</v>
      </c>
      <c r="I915" s="2">
        <v>20.5</v>
      </c>
      <c r="J915">
        <f t="shared" si="46"/>
        <v>373.09524399999998</v>
      </c>
      <c r="K915">
        <f t="shared" si="47"/>
        <v>373.09524399999998</v>
      </c>
    </row>
    <row r="916" spans="2:11" x14ac:dyDescent="0.25">
      <c r="B916" s="1">
        <v>46141</v>
      </c>
      <c r="C916" t="s">
        <v>12</v>
      </c>
      <c r="E916" t="s">
        <v>25</v>
      </c>
      <c r="F916">
        <v>72974.63</v>
      </c>
      <c r="G916" t="s">
        <v>320</v>
      </c>
      <c r="H916">
        <f t="shared" si="48"/>
        <v>16.015788999999998</v>
      </c>
      <c r="I916" s="2">
        <v>20.5</v>
      </c>
      <c r="J916">
        <f t="shared" si="46"/>
        <v>328.32367449999998</v>
      </c>
      <c r="K916">
        <f t="shared" si="47"/>
        <v>328.32367449999998</v>
      </c>
    </row>
    <row r="917" spans="2:11" x14ac:dyDescent="0.25">
      <c r="B917" s="1">
        <v>46141</v>
      </c>
      <c r="C917" t="s">
        <v>12</v>
      </c>
      <c r="E917" t="s">
        <v>26</v>
      </c>
      <c r="F917">
        <v>46316.54</v>
      </c>
      <c r="G917" t="s">
        <v>320</v>
      </c>
      <c r="H917">
        <f t="shared" si="48"/>
        <v>8.0183619999999998</v>
      </c>
      <c r="I917" s="2">
        <v>20.5</v>
      </c>
      <c r="J917">
        <f t="shared" si="46"/>
        <v>164.37642099999999</v>
      </c>
      <c r="K917">
        <f t="shared" si="47"/>
        <v>164.37642099999999</v>
      </c>
    </row>
    <row r="918" spans="2:11" x14ac:dyDescent="0.25">
      <c r="B918" s="1">
        <v>46141</v>
      </c>
      <c r="C918" t="s">
        <v>12</v>
      </c>
      <c r="E918" t="s">
        <v>27</v>
      </c>
      <c r="F918">
        <v>41365.4</v>
      </c>
      <c r="G918" t="s">
        <v>320</v>
      </c>
      <c r="H918">
        <f t="shared" si="48"/>
        <v>6.5330199999999987</v>
      </c>
      <c r="I918" s="2">
        <v>20.5</v>
      </c>
      <c r="J918">
        <f t="shared" si="46"/>
        <v>133.92690999999996</v>
      </c>
      <c r="K918">
        <f t="shared" si="47"/>
        <v>133.92690999999996</v>
      </c>
    </row>
    <row r="919" spans="2:11" x14ac:dyDescent="0.25">
      <c r="B919" s="1">
        <v>46141</v>
      </c>
      <c r="C919" t="s">
        <v>12</v>
      </c>
      <c r="E919" t="s">
        <v>28</v>
      </c>
      <c r="F919">
        <v>28156.43</v>
      </c>
      <c r="G919" t="s">
        <v>320</v>
      </c>
      <c r="H919">
        <f t="shared" si="48"/>
        <v>2.5703289999999992</v>
      </c>
      <c r="I919" s="2">
        <v>20.5</v>
      </c>
      <c r="J919">
        <f t="shared" si="46"/>
        <v>52.691744499999984</v>
      </c>
      <c r="K919">
        <f t="shared" si="47"/>
        <v>52.691744499999984</v>
      </c>
    </row>
    <row r="920" spans="2:11" x14ac:dyDescent="0.25">
      <c r="B920" s="1">
        <v>46141</v>
      </c>
      <c r="C920" t="s">
        <v>12</v>
      </c>
      <c r="E920" t="s">
        <v>29</v>
      </c>
      <c r="F920">
        <v>21530.720000000001</v>
      </c>
      <c r="G920" t="s">
        <v>320</v>
      </c>
      <c r="H920">
        <f t="shared" si="48"/>
        <v>0.5826159999999998</v>
      </c>
      <c r="I920" s="2">
        <v>20.5</v>
      </c>
      <c r="J920">
        <f t="shared" si="46"/>
        <v>11.943627999999997</v>
      </c>
      <c r="K920">
        <f t="shared" si="47"/>
        <v>11.943627999999997</v>
      </c>
    </row>
    <row r="921" spans="2:11" x14ac:dyDescent="0.25">
      <c r="B921" s="1">
        <v>46141</v>
      </c>
      <c r="C921" t="s">
        <v>30</v>
      </c>
      <c r="E921" t="s">
        <v>13</v>
      </c>
      <c r="F921">
        <v>31950.7</v>
      </c>
      <c r="G921" t="s">
        <v>320</v>
      </c>
      <c r="H921">
        <f t="shared" si="48"/>
        <v>3.7086100000000002</v>
      </c>
      <c r="I921" s="2">
        <v>20.5</v>
      </c>
      <c r="J921">
        <f t="shared" si="46"/>
        <v>76.026505</v>
      </c>
      <c r="K921">
        <f t="shared" si="47"/>
        <v>76.026505</v>
      </c>
    </row>
    <row r="922" spans="2:11" x14ac:dyDescent="0.25">
      <c r="B922" s="1">
        <v>46141</v>
      </c>
      <c r="C922" t="s">
        <v>30</v>
      </c>
      <c r="E922" t="s">
        <v>14</v>
      </c>
      <c r="F922">
        <v>30651.67</v>
      </c>
      <c r="G922" t="s">
        <v>320</v>
      </c>
      <c r="H922">
        <f t="shared" si="48"/>
        <v>3.3189009999999985</v>
      </c>
      <c r="I922" s="2">
        <v>20.5</v>
      </c>
      <c r="J922">
        <f t="shared" si="46"/>
        <v>68.037470499999969</v>
      </c>
      <c r="K922">
        <f t="shared" si="47"/>
        <v>68.037470499999969</v>
      </c>
    </row>
    <row r="923" spans="2:11" x14ac:dyDescent="0.25">
      <c r="B923" s="1">
        <v>46141</v>
      </c>
      <c r="C923" t="s">
        <v>30</v>
      </c>
      <c r="E923" t="s">
        <v>15</v>
      </c>
      <c r="F923">
        <v>33916.870000000003</v>
      </c>
      <c r="G923" t="s">
        <v>320</v>
      </c>
      <c r="H923">
        <f t="shared" si="48"/>
        <v>4.2984609999999996</v>
      </c>
      <c r="I923" s="2">
        <v>20.5</v>
      </c>
      <c r="J923">
        <f t="shared" si="46"/>
        <v>88.118450499999994</v>
      </c>
      <c r="K923">
        <f t="shared" si="47"/>
        <v>88.118450499999994</v>
      </c>
    </row>
    <row r="924" spans="2:11" x14ac:dyDescent="0.25">
      <c r="B924" s="1">
        <v>46141</v>
      </c>
      <c r="C924" t="s">
        <v>30</v>
      </c>
      <c r="E924" t="s">
        <v>16</v>
      </c>
      <c r="F924">
        <v>24635.91</v>
      </c>
      <c r="G924" t="s">
        <v>320</v>
      </c>
      <c r="H924">
        <f t="shared" si="48"/>
        <v>1.5141729999999995</v>
      </c>
      <c r="I924" s="2">
        <v>20.5</v>
      </c>
      <c r="J924">
        <f t="shared" si="46"/>
        <v>31.040546499999991</v>
      </c>
      <c r="K924">
        <f t="shared" si="47"/>
        <v>31.040546499999991</v>
      </c>
    </row>
    <row r="925" spans="2:11" x14ac:dyDescent="0.25">
      <c r="B925" s="1">
        <v>46141</v>
      </c>
      <c r="C925" t="s">
        <v>30</v>
      </c>
      <c r="E925" t="s">
        <v>17</v>
      </c>
      <c r="F925">
        <v>20415.05</v>
      </c>
      <c r="G925" t="s">
        <v>320</v>
      </c>
      <c r="H925">
        <f t="shared" si="48"/>
        <v>0.247914999999999</v>
      </c>
      <c r="I925" s="2">
        <v>20.5</v>
      </c>
      <c r="J925">
        <f t="shared" si="46"/>
        <v>5.0822574999999794</v>
      </c>
      <c r="K925">
        <f t="shared" si="47"/>
        <v>5.0822574999999794</v>
      </c>
    </row>
    <row r="926" spans="2:11" x14ac:dyDescent="0.25">
      <c r="B926" s="1">
        <v>46141</v>
      </c>
      <c r="C926" t="s">
        <v>30</v>
      </c>
      <c r="E926" t="s">
        <v>12</v>
      </c>
      <c r="F926">
        <v>36253.589999999997</v>
      </c>
      <c r="G926" t="s">
        <v>320</v>
      </c>
      <c r="H926">
        <f t="shared" si="48"/>
        <v>4.9994769999999988</v>
      </c>
      <c r="I926" s="2">
        <v>20.5</v>
      </c>
      <c r="J926">
        <f t="shared" si="46"/>
        <v>102.48927849999998</v>
      </c>
      <c r="K926">
        <f t="shared" si="47"/>
        <v>102.48927849999998</v>
      </c>
    </row>
    <row r="927" spans="2:11" x14ac:dyDescent="0.25">
      <c r="B927" s="1">
        <v>46141</v>
      </c>
      <c r="C927" t="s">
        <v>30</v>
      </c>
      <c r="E927" t="s">
        <v>18</v>
      </c>
      <c r="F927">
        <v>32383.59</v>
      </c>
      <c r="G927" t="s">
        <v>320</v>
      </c>
      <c r="H927">
        <f t="shared" si="48"/>
        <v>3.8384769999999993</v>
      </c>
      <c r="I927" s="2">
        <v>20.5</v>
      </c>
      <c r="J927">
        <f t="shared" si="46"/>
        <v>78.688778499999984</v>
      </c>
      <c r="K927">
        <f t="shared" si="47"/>
        <v>78.688778499999984</v>
      </c>
    </row>
    <row r="928" spans="2:11" x14ac:dyDescent="0.25">
      <c r="B928" s="1">
        <v>46141</v>
      </c>
      <c r="C928" t="s">
        <v>30</v>
      </c>
      <c r="E928" t="s">
        <v>19</v>
      </c>
      <c r="F928">
        <v>27524.880000000001</v>
      </c>
      <c r="G928" t="s">
        <v>320</v>
      </c>
      <c r="H928">
        <f t="shared" si="48"/>
        <v>2.380863999999999</v>
      </c>
      <c r="I928" s="2">
        <v>20.5</v>
      </c>
      <c r="J928">
        <f t="shared" si="46"/>
        <v>48.807711999999981</v>
      </c>
      <c r="K928">
        <f t="shared" si="47"/>
        <v>48.807711999999981</v>
      </c>
    </row>
    <row r="929" spans="2:11" x14ac:dyDescent="0.25">
      <c r="B929" s="1">
        <v>46141</v>
      </c>
      <c r="C929" t="s">
        <v>30</v>
      </c>
      <c r="E929" t="s">
        <v>20</v>
      </c>
      <c r="F929">
        <v>30827.54</v>
      </c>
      <c r="G929" t="s">
        <v>320</v>
      </c>
      <c r="H929">
        <f t="shared" si="48"/>
        <v>3.3716619999999988</v>
      </c>
      <c r="I929" s="2">
        <v>20.5</v>
      </c>
      <c r="J929">
        <f t="shared" si="46"/>
        <v>69.119070999999977</v>
      </c>
      <c r="K929">
        <f t="shared" si="47"/>
        <v>69.119070999999977</v>
      </c>
    </row>
    <row r="930" spans="2:11" x14ac:dyDescent="0.25">
      <c r="B930" s="1">
        <v>46141</v>
      </c>
      <c r="C930" t="s">
        <v>30</v>
      </c>
      <c r="E930" t="s">
        <v>21</v>
      </c>
      <c r="F930">
        <v>38140.589999999997</v>
      </c>
      <c r="G930" t="s">
        <v>320</v>
      </c>
      <c r="H930">
        <f t="shared" si="48"/>
        <v>5.5655769999999976</v>
      </c>
      <c r="I930" s="2">
        <v>20.5</v>
      </c>
      <c r="J930">
        <f t="shared" si="46"/>
        <v>114.09432849999995</v>
      </c>
      <c r="K930">
        <f t="shared" si="47"/>
        <v>114.09432849999995</v>
      </c>
    </row>
    <row r="931" spans="2:11" x14ac:dyDescent="0.25">
      <c r="B931" s="1">
        <v>46141</v>
      </c>
      <c r="C931" t="s">
        <v>30</v>
      </c>
      <c r="E931" t="s">
        <v>22</v>
      </c>
      <c r="F931">
        <v>29136.32</v>
      </c>
      <c r="G931" t="s">
        <v>320</v>
      </c>
      <c r="H931">
        <f t="shared" si="48"/>
        <v>2.8642959999999995</v>
      </c>
      <c r="I931" s="2">
        <v>20.5</v>
      </c>
      <c r="J931">
        <f t="shared" si="46"/>
        <v>58.718067999999988</v>
      </c>
      <c r="K931">
        <f t="shared" si="47"/>
        <v>58.718067999999988</v>
      </c>
    </row>
    <row r="932" spans="2:11" x14ac:dyDescent="0.25">
      <c r="B932" s="1">
        <v>46141</v>
      </c>
      <c r="C932" t="s">
        <v>30</v>
      </c>
      <c r="E932" t="s">
        <v>23</v>
      </c>
      <c r="F932">
        <v>22933.32</v>
      </c>
      <c r="G932" t="s">
        <v>320</v>
      </c>
      <c r="H932">
        <f t="shared" si="48"/>
        <v>1.0033959999999995</v>
      </c>
      <c r="I932" s="2">
        <v>20.5</v>
      </c>
      <c r="J932">
        <f t="shared" si="46"/>
        <v>20.569617999999991</v>
      </c>
      <c r="K932">
        <f t="shared" si="47"/>
        <v>20.569617999999991</v>
      </c>
    </row>
    <row r="933" spans="2:11" x14ac:dyDescent="0.25">
      <c r="B933" s="1">
        <v>46141</v>
      </c>
      <c r="C933" t="s">
        <v>30</v>
      </c>
      <c r="E933" t="s">
        <v>24</v>
      </c>
      <c r="F933">
        <v>41773.5</v>
      </c>
      <c r="G933" t="s">
        <v>320</v>
      </c>
      <c r="H933">
        <f t="shared" si="48"/>
        <v>6.6554499999999983</v>
      </c>
      <c r="I933" s="2">
        <v>20.5</v>
      </c>
      <c r="J933">
        <f t="shared" si="46"/>
        <v>136.43672499999997</v>
      </c>
      <c r="K933">
        <f t="shared" si="47"/>
        <v>136.43672499999997</v>
      </c>
    </row>
    <row r="934" spans="2:11" x14ac:dyDescent="0.25">
      <c r="B934" s="1">
        <v>46141</v>
      </c>
      <c r="C934" t="s">
        <v>30</v>
      </c>
      <c r="E934" t="s">
        <v>25</v>
      </c>
      <c r="F934">
        <v>30813.18</v>
      </c>
      <c r="G934" t="s">
        <v>320</v>
      </c>
      <c r="H934">
        <f t="shared" si="48"/>
        <v>3.3673539999999988</v>
      </c>
      <c r="I934" s="2">
        <v>20.5</v>
      </c>
      <c r="J934">
        <f t="shared" si="46"/>
        <v>69.03075699999998</v>
      </c>
      <c r="K934">
        <f t="shared" si="47"/>
        <v>69.03075699999998</v>
      </c>
    </row>
    <row r="935" spans="2:11" x14ac:dyDescent="0.25">
      <c r="B935" s="1">
        <v>46141</v>
      </c>
      <c r="C935" t="s">
        <v>30</v>
      </c>
      <c r="E935" t="s">
        <v>26</v>
      </c>
      <c r="F935">
        <v>25712.99</v>
      </c>
      <c r="G935" t="s">
        <v>320</v>
      </c>
      <c r="H935">
        <f t="shared" si="48"/>
        <v>1.8372970000000004</v>
      </c>
      <c r="I935" s="2">
        <v>20.5</v>
      </c>
      <c r="J935">
        <f t="shared" si="46"/>
        <v>37.664588500000008</v>
      </c>
      <c r="K935">
        <f t="shared" si="47"/>
        <v>37.664588500000008</v>
      </c>
    </row>
    <row r="936" spans="2:11" x14ac:dyDescent="0.25">
      <c r="B936" s="1">
        <v>46141</v>
      </c>
      <c r="C936" t="s">
        <v>30</v>
      </c>
      <c r="E936" t="s">
        <v>27</v>
      </c>
      <c r="F936">
        <v>27478.59</v>
      </c>
      <c r="G936" t="s">
        <v>320</v>
      </c>
      <c r="H936">
        <f t="shared" si="48"/>
        <v>2.3669770000000003</v>
      </c>
      <c r="I936" s="2">
        <v>20.5</v>
      </c>
      <c r="J936">
        <f t="shared" si="46"/>
        <v>48.523028500000009</v>
      </c>
      <c r="K936">
        <f t="shared" si="47"/>
        <v>48.523028500000009</v>
      </c>
    </row>
    <row r="937" spans="2:11" x14ac:dyDescent="0.25">
      <c r="B937" s="1">
        <v>46141</v>
      </c>
      <c r="C937" t="s">
        <v>30</v>
      </c>
      <c r="E937" t="s">
        <v>28</v>
      </c>
      <c r="F937">
        <v>24200.57</v>
      </c>
      <c r="G937" t="s">
        <v>320</v>
      </c>
      <c r="H937">
        <f t="shared" si="48"/>
        <v>1.3835709999999999</v>
      </c>
      <c r="I937" s="2">
        <v>20.5</v>
      </c>
      <c r="J937">
        <f t="shared" si="46"/>
        <v>28.363205499999999</v>
      </c>
      <c r="K937">
        <f t="shared" si="47"/>
        <v>28.363205499999999</v>
      </c>
    </row>
    <row r="938" spans="2:11" x14ac:dyDescent="0.25">
      <c r="B938" s="1">
        <v>46141</v>
      </c>
      <c r="C938" t="s">
        <v>30</v>
      </c>
      <c r="E938" t="s">
        <v>29</v>
      </c>
      <c r="F938">
        <v>23697.23</v>
      </c>
      <c r="G938" t="s">
        <v>320</v>
      </c>
      <c r="H938">
        <f t="shared" si="48"/>
        <v>1.2325689999999998</v>
      </c>
      <c r="I938" s="2">
        <v>20.5</v>
      </c>
      <c r="J938">
        <f t="shared" si="46"/>
        <v>25.267664499999995</v>
      </c>
      <c r="K938">
        <f t="shared" si="47"/>
        <v>25.267664499999995</v>
      </c>
    </row>
    <row r="939" spans="2:11" x14ac:dyDescent="0.25">
      <c r="B939" s="4">
        <v>46142</v>
      </c>
      <c r="C939" t="s">
        <v>101</v>
      </c>
      <c r="E939" t="s">
        <v>73</v>
      </c>
      <c r="F939">
        <v>29886.78</v>
      </c>
      <c r="G939" t="s">
        <v>320</v>
      </c>
      <c r="H939">
        <f t="shared" si="48"/>
        <v>3.0894339999999989</v>
      </c>
      <c r="I939" s="2">
        <v>20.5</v>
      </c>
      <c r="J939">
        <f t="shared" si="46"/>
        <v>63.333396999999977</v>
      </c>
      <c r="K939">
        <f t="shared" si="47"/>
        <v>63.333396999999977</v>
      </c>
    </row>
    <row r="940" spans="2:11" x14ac:dyDescent="0.25">
      <c r="B940" s="4">
        <v>46142</v>
      </c>
      <c r="C940" t="s">
        <v>101</v>
      </c>
      <c r="E940" t="s">
        <v>74</v>
      </c>
      <c r="F940">
        <v>30076.79</v>
      </c>
      <c r="G940" t="s">
        <v>320</v>
      </c>
      <c r="H940">
        <f t="shared" si="48"/>
        <v>3.1464369999999988</v>
      </c>
      <c r="I940" s="2">
        <v>20.5</v>
      </c>
      <c r="J940">
        <f t="shared" ref="J940:J962" si="49">H940*I940</f>
        <v>64.501958499999972</v>
      </c>
      <c r="K940">
        <f t="shared" ref="K940:K962" si="50">MAX(J940,0)</f>
        <v>64.501958499999972</v>
      </c>
    </row>
    <row r="941" spans="2:11" x14ac:dyDescent="0.25">
      <c r="B941" s="4">
        <v>46142</v>
      </c>
      <c r="C941" t="s">
        <v>101</v>
      </c>
      <c r="E941" t="s">
        <v>75</v>
      </c>
      <c r="F941">
        <v>38348.160000000003</v>
      </c>
      <c r="G941" t="s">
        <v>320</v>
      </c>
      <c r="H941">
        <f t="shared" ref="H941:H962" si="51">(0.0003*F941)-5.8766</f>
        <v>5.6278480000000002</v>
      </c>
      <c r="I941" s="2">
        <v>20.5</v>
      </c>
      <c r="J941">
        <f t="shared" si="49"/>
        <v>115.370884</v>
      </c>
      <c r="K941">
        <f t="shared" si="50"/>
        <v>115.370884</v>
      </c>
    </row>
    <row r="942" spans="2:11" x14ac:dyDescent="0.25">
      <c r="B942" s="4">
        <v>46142</v>
      </c>
      <c r="C942" t="s">
        <v>101</v>
      </c>
      <c r="E942" t="s">
        <v>76</v>
      </c>
      <c r="F942">
        <v>27491.200000000001</v>
      </c>
      <c r="G942" t="s">
        <v>320</v>
      </c>
      <c r="H942">
        <f t="shared" si="51"/>
        <v>2.3707599999999989</v>
      </c>
      <c r="I942" s="2">
        <v>20.5</v>
      </c>
      <c r="J942">
        <f t="shared" si="49"/>
        <v>48.600579999999979</v>
      </c>
      <c r="K942">
        <f t="shared" si="50"/>
        <v>48.600579999999979</v>
      </c>
    </row>
    <row r="943" spans="2:11" x14ac:dyDescent="0.25">
      <c r="B943" s="4">
        <v>46142</v>
      </c>
      <c r="C943" t="s">
        <v>101</v>
      </c>
      <c r="E943" t="s">
        <v>77</v>
      </c>
      <c r="F943">
        <v>26206.13</v>
      </c>
      <c r="G943" t="s">
        <v>320</v>
      </c>
      <c r="H943">
        <f t="shared" si="51"/>
        <v>1.985239</v>
      </c>
      <c r="I943" s="2">
        <v>20.5</v>
      </c>
      <c r="J943">
        <f t="shared" si="49"/>
        <v>40.697399500000003</v>
      </c>
      <c r="K943">
        <f t="shared" si="50"/>
        <v>40.697399500000003</v>
      </c>
    </row>
    <row r="944" spans="2:11" x14ac:dyDescent="0.25">
      <c r="B944" s="4">
        <v>46142</v>
      </c>
      <c r="C944" t="s">
        <v>101</v>
      </c>
      <c r="E944" t="s">
        <v>78</v>
      </c>
      <c r="F944">
        <v>27778.080000000002</v>
      </c>
      <c r="G944" t="s">
        <v>320</v>
      </c>
      <c r="H944">
        <f t="shared" si="51"/>
        <v>2.4568239999999992</v>
      </c>
      <c r="I944" s="2">
        <v>20.5</v>
      </c>
      <c r="J944">
        <f t="shared" si="49"/>
        <v>50.364891999999983</v>
      </c>
      <c r="K944">
        <f t="shared" si="50"/>
        <v>50.364891999999983</v>
      </c>
    </row>
    <row r="945" spans="2:11" x14ac:dyDescent="0.25">
      <c r="B945" s="4">
        <v>46142</v>
      </c>
      <c r="C945" t="s">
        <v>101</v>
      </c>
      <c r="E945" t="s">
        <v>79</v>
      </c>
      <c r="F945">
        <v>20169.810000000001</v>
      </c>
      <c r="G945" t="s">
        <v>320</v>
      </c>
      <c r="H945">
        <f t="shared" si="51"/>
        <v>0.17434300000000036</v>
      </c>
      <c r="I945" s="2">
        <v>20.5</v>
      </c>
      <c r="J945">
        <f t="shared" si="49"/>
        <v>3.5740315000000074</v>
      </c>
      <c r="K945">
        <f t="shared" si="50"/>
        <v>3.5740315000000074</v>
      </c>
    </row>
    <row r="946" spans="2:11" x14ac:dyDescent="0.25">
      <c r="B946" s="4">
        <v>46142</v>
      </c>
      <c r="C946" t="s">
        <v>101</v>
      </c>
      <c r="E946" t="s">
        <v>80</v>
      </c>
      <c r="F946">
        <v>22735.05</v>
      </c>
      <c r="G946" t="s">
        <v>320</v>
      </c>
      <c r="H946">
        <f t="shared" si="51"/>
        <v>0.94391499999999962</v>
      </c>
      <c r="I946" s="2">
        <v>20.5</v>
      </c>
      <c r="J946">
        <f t="shared" si="49"/>
        <v>19.350257499999991</v>
      </c>
      <c r="K946">
        <f t="shared" si="50"/>
        <v>19.350257499999991</v>
      </c>
    </row>
    <row r="947" spans="2:11" x14ac:dyDescent="0.25">
      <c r="B947" s="4">
        <v>46142</v>
      </c>
      <c r="C947" t="s">
        <v>101</v>
      </c>
      <c r="E947" t="s">
        <v>81</v>
      </c>
      <c r="F947">
        <v>19532.79</v>
      </c>
      <c r="G947" t="s">
        <v>320</v>
      </c>
      <c r="H947">
        <f t="shared" si="51"/>
        <v>-1.6763000000000083E-2</v>
      </c>
      <c r="I947" s="2">
        <v>20.5</v>
      </c>
      <c r="J947">
        <f t="shared" si="49"/>
        <v>-0.34364150000000171</v>
      </c>
      <c r="K947">
        <f t="shared" si="50"/>
        <v>0</v>
      </c>
    </row>
    <row r="948" spans="2:11" x14ac:dyDescent="0.25">
      <c r="B948" s="4">
        <v>46142</v>
      </c>
      <c r="C948" t="s">
        <v>101</v>
      </c>
      <c r="D948" t="s">
        <v>98</v>
      </c>
      <c r="E948" t="s">
        <v>95</v>
      </c>
      <c r="F948">
        <v>21094.67</v>
      </c>
      <c r="G948" t="s">
        <v>320</v>
      </c>
      <c r="H948">
        <f t="shared" si="51"/>
        <v>0.45180099999999879</v>
      </c>
      <c r="I948" s="2">
        <v>1</v>
      </c>
      <c r="J948">
        <f t="shared" si="49"/>
        <v>0.45180099999999879</v>
      </c>
      <c r="K948">
        <f t="shared" si="50"/>
        <v>0.45180099999999879</v>
      </c>
    </row>
    <row r="949" spans="2:11" x14ac:dyDescent="0.25">
      <c r="B949" s="4">
        <v>46142</v>
      </c>
      <c r="C949" t="s">
        <v>101</v>
      </c>
      <c r="D949" t="s">
        <v>98</v>
      </c>
      <c r="E949" t="s">
        <v>96</v>
      </c>
      <c r="F949">
        <v>42023.57</v>
      </c>
      <c r="G949" t="s">
        <v>320</v>
      </c>
      <c r="H949">
        <f t="shared" si="51"/>
        <v>6.7304709999999996</v>
      </c>
      <c r="I949" s="2">
        <v>1</v>
      </c>
      <c r="J949">
        <f t="shared" si="49"/>
        <v>6.7304709999999996</v>
      </c>
      <c r="K949">
        <f t="shared" si="50"/>
        <v>6.7304709999999996</v>
      </c>
    </row>
    <row r="950" spans="2:11" x14ac:dyDescent="0.25">
      <c r="B950" s="4">
        <v>46142</v>
      </c>
      <c r="C950" t="s">
        <v>101</v>
      </c>
      <c r="D950" t="s">
        <v>98</v>
      </c>
      <c r="E950" t="s">
        <v>97</v>
      </c>
      <c r="F950">
        <v>22565.46</v>
      </c>
      <c r="G950" t="s">
        <v>320</v>
      </c>
      <c r="H950">
        <f t="shared" si="51"/>
        <v>0.89303799999999889</v>
      </c>
      <c r="I950" s="2">
        <v>1</v>
      </c>
      <c r="J950">
        <f t="shared" si="49"/>
        <v>0.89303799999999889</v>
      </c>
      <c r="K950">
        <f t="shared" si="50"/>
        <v>0.89303799999999889</v>
      </c>
    </row>
    <row r="951" spans="2:11" x14ac:dyDescent="0.25">
      <c r="B951" s="1">
        <v>46142</v>
      </c>
      <c r="C951" t="s">
        <v>102</v>
      </c>
      <c r="E951" t="s">
        <v>73</v>
      </c>
      <c r="F951">
        <v>31584.45</v>
      </c>
      <c r="G951" t="s">
        <v>320</v>
      </c>
      <c r="H951">
        <f t="shared" si="51"/>
        <v>3.5987349999999996</v>
      </c>
      <c r="I951" s="2">
        <v>20.5</v>
      </c>
      <c r="J951">
        <f t="shared" si="49"/>
        <v>73.774067499999987</v>
      </c>
      <c r="K951">
        <f t="shared" si="50"/>
        <v>73.774067499999987</v>
      </c>
    </row>
    <row r="952" spans="2:11" x14ac:dyDescent="0.25">
      <c r="B952" s="1">
        <v>46142</v>
      </c>
      <c r="C952" t="s">
        <v>102</v>
      </c>
      <c r="E952" t="s">
        <v>74</v>
      </c>
      <c r="F952">
        <v>27991.29</v>
      </c>
      <c r="G952" t="s">
        <v>320</v>
      </c>
      <c r="H952">
        <f t="shared" si="51"/>
        <v>2.5207870000000003</v>
      </c>
      <c r="I952" s="2">
        <v>20.5</v>
      </c>
      <c r="J952">
        <f t="shared" si="49"/>
        <v>51.676133500000006</v>
      </c>
      <c r="K952">
        <f t="shared" si="50"/>
        <v>51.676133500000006</v>
      </c>
    </row>
    <row r="953" spans="2:11" x14ac:dyDescent="0.25">
      <c r="B953" s="1">
        <v>46142</v>
      </c>
      <c r="C953" t="s">
        <v>102</v>
      </c>
      <c r="E953" t="s">
        <v>75</v>
      </c>
      <c r="F953">
        <v>27083.09</v>
      </c>
      <c r="G953" t="s">
        <v>320</v>
      </c>
      <c r="H953">
        <f t="shared" si="51"/>
        <v>2.2483269999999997</v>
      </c>
      <c r="I953" s="2">
        <v>20.5</v>
      </c>
      <c r="J953">
        <f t="shared" si="49"/>
        <v>46.090703499999996</v>
      </c>
      <c r="K953">
        <f t="shared" si="50"/>
        <v>46.090703499999996</v>
      </c>
    </row>
    <row r="954" spans="2:11" x14ac:dyDescent="0.25">
      <c r="B954" s="1">
        <v>46142</v>
      </c>
      <c r="C954" t="s">
        <v>102</v>
      </c>
      <c r="E954" t="s">
        <v>76</v>
      </c>
      <c r="F954">
        <v>26534.82</v>
      </c>
      <c r="G954" t="s">
        <v>320</v>
      </c>
      <c r="H954">
        <f t="shared" si="51"/>
        <v>2.0838459999999994</v>
      </c>
      <c r="I954" s="2">
        <v>20.5</v>
      </c>
      <c r="J954">
        <f t="shared" si="49"/>
        <v>42.718842999999985</v>
      </c>
      <c r="K954">
        <f t="shared" si="50"/>
        <v>42.718842999999985</v>
      </c>
    </row>
    <row r="955" spans="2:11" x14ac:dyDescent="0.25">
      <c r="B955" s="1">
        <v>46142</v>
      </c>
      <c r="C955" t="s">
        <v>102</v>
      </c>
      <c r="E955" t="s">
        <v>77</v>
      </c>
      <c r="F955">
        <v>49545.42</v>
      </c>
      <c r="G955" t="s">
        <v>320</v>
      </c>
      <c r="H955">
        <f t="shared" si="51"/>
        <v>8.9870259999999984</v>
      </c>
      <c r="I955" s="2">
        <v>20.5</v>
      </c>
      <c r="J955">
        <f t="shared" si="49"/>
        <v>184.23403299999995</v>
      </c>
      <c r="K955">
        <f t="shared" si="50"/>
        <v>184.23403299999995</v>
      </c>
    </row>
    <row r="956" spans="2:11" x14ac:dyDescent="0.25">
      <c r="B956" s="1">
        <v>46142</v>
      </c>
      <c r="C956" t="s">
        <v>102</v>
      </c>
      <c r="E956" t="s">
        <v>78</v>
      </c>
      <c r="F956">
        <v>29187.14</v>
      </c>
      <c r="G956" t="s">
        <v>320</v>
      </c>
      <c r="H956">
        <f t="shared" si="51"/>
        <v>2.8795419999999989</v>
      </c>
      <c r="I956" s="2">
        <v>20.5</v>
      </c>
      <c r="J956">
        <f t="shared" si="49"/>
        <v>59.030610999999979</v>
      </c>
      <c r="K956">
        <f t="shared" si="50"/>
        <v>59.030610999999979</v>
      </c>
    </row>
    <row r="957" spans="2:11" x14ac:dyDescent="0.25">
      <c r="B957" s="1">
        <v>46142</v>
      </c>
      <c r="C957" t="s">
        <v>102</v>
      </c>
      <c r="E957" t="s">
        <v>79</v>
      </c>
      <c r="F957">
        <v>26844.21</v>
      </c>
      <c r="G957" t="s">
        <v>320</v>
      </c>
      <c r="H957">
        <f t="shared" si="51"/>
        <v>2.1766629999999996</v>
      </c>
      <c r="I957" s="2">
        <v>20.5</v>
      </c>
      <c r="J957">
        <f t="shared" si="49"/>
        <v>44.621591499999994</v>
      </c>
      <c r="K957">
        <f t="shared" si="50"/>
        <v>44.621591499999994</v>
      </c>
    </row>
    <row r="958" spans="2:11" x14ac:dyDescent="0.25">
      <c r="B958" s="1">
        <v>46142</v>
      </c>
      <c r="C958" t="s">
        <v>102</v>
      </c>
      <c r="E958" t="s">
        <v>80</v>
      </c>
      <c r="F958">
        <v>39451.99</v>
      </c>
      <c r="G958" t="s">
        <v>320</v>
      </c>
      <c r="H958">
        <f t="shared" si="51"/>
        <v>5.9589969999999983</v>
      </c>
      <c r="I958" s="2">
        <v>20.5</v>
      </c>
      <c r="J958">
        <f t="shared" si="49"/>
        <v>122.15943849999996</v>
      </c>
      <c r="K958">
        <f t="shared" si="50"/>
        <v>122.15943849999996</v>
      </c>
    </row>
    <row r="959" spans="2:11" x14ac:dyDescent="0.25">
      <c r="B959" s="1">
        <v>46142</v>
      </c>
      <c r="C959" t="s">
        <v>102</v>
      </c>
      <c r="E959" t="s">
        <v>81</v>
      </c>
      <c r="F959">
        <v>40586.29</v>
      </c>
      <c r="G959" t="s">
        <v>320</v>
      </c>
      <c r="H959">
        <f t="shared" si="51"/>
        <v>6.2992869999999996</v>
      </c>
      <c r="I959" s="2">
        <v>20.5</v>
      </c>
      <c r="J959">
        <f t="shared" si="49"/>
        <v>129.13538349999999</v>
      </c>
      <c r="K959">
        <f t="shared" si="50"/>
        <v>129.13538349999999</v>
      </c>
    </row>
    <row r="960" spans="2:11" x14ac:dyDescent="0.25">
      <c r="B960" s="1">
        <v>46142</v>
      </c>
      <c r="C960" t="s">
        <v>102</v>
      </c>
      <c r="D960" t="s">
        <v>98</v>
      </c>
      <c r="E960" t="s">
        <v>95</v>
      </c>
      <c r="F960">
        <v>32154.959999999999</v>
      </c>
      <c r="G960" t="s">
        <v>320</v>
      </c>
      <c r="H960">
        <f t="shared" si="51"/>
        <v>3.7698879999999999</v>
      </c>
      <c r="I960" s="2">
        <v>1</v>
      </c>
      <c r="J960">
        <f t="shared" si="49"/>
        <v>3.7698879999999999</v>
      </c>
      <c r="K960">
        <f t="shared" si="50"/>
        <v>3.7698879999999999</v>
      </c>
    </row>
    <row r="961" spans="2:11" x14ac:dyDescent="0.25">
      <c r="B961" s="1">
        <v>46142</v>
      </c>
      <c r="C961" t="s">
        <v>102</v>
      </c>
      <c r="D961" t="s">
        <v>98</v>
      </c>
      <c r="E961" t="s">
        <v>96</v>
      </c>
      <c r="F961">
        <v>47610.2</v>
      </c>
      <c r="G961" t="s">
        <v>320</v>
      </c>
      <c r="H961">
        <f t="shared" si="51"/>
        <v>8.4064599999999974</v>
      </c>
      <c r="I961" s="2">
        <v>1</v>
      </c>
      <c r="J961">
        <f t="shared" si="49"/>
        <v>8.4064599999999974</v>
      </c>
      <c r="K961">
        <f t="shared" si="50"/>
        <v>8.4064599999999974</v>
      </c>
    </row>
    <row r="962" spans="2:11" x14ac:dyDescent="0.25">
      <c r="B962" s="1">
        <v>46142</v>
      </c>
      <c r="C962" t="s">
        <v>102</v>
      </c>
      <c r="D962" t="s">
        <v>98</v>
      </c>
      <c r="E962" t="s">
        <v>97</v>
      </c>
      <c r="F962">
        <v>29338.91</v>
      </c>
      <c r="G962" t="s">
        <v>320</v>
      </c>
      <c r="H962">
        <f t="shared" si="51"/>
        <v>2.9250729999999994</v>
      </c>
      <c r="I962" s="2">
        <v>1</v>
      </c>
      <c r="J962">
        <f t="shared" si="49"/>
        <v>2.9250729999999994</v>
      </c>
      <c r="K962">
        <f t="shared" si="50"/>
        <v>2.9250729999999994</v>
      </c>
    </row>
    <row r="963" spans="2:11" x14ac:dyDescent="0.25">
      <c r="I96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PO4 St. Curve</vt:lpstr>
      <vt:lpstr>NO3 St. Curve</vt:lpstr>
      <vt:lpstr>NH4 St. Curve</vt:lpstr>
      <vt:lpstr>PO4 Data</vt:lpstr>
      <vt:lpstr>NO3 Data</vt:lpstr>
      <vt:lpstr>NH4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C Guy</dc:creator>
  <cp:keywords/>
  <dc:description/>
  <cp:lastModifiedBy>Guy, Henry</cp:lastModifiedBy>
  <cp:revision/>
  <dcterms:created xsi:type="dcterms:W3CDTF">2024-05-28T17:26:28Z</dcterms:created>
  <dcterms:modified xsi:type="dcterms:W3CDTF">2026-07-01T17:44:47Z</dcterms:modified>
  <cp:category/>
  <cp:contentStatus/>
</cp:coreProperties>
</file>